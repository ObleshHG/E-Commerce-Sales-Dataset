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updateLinks="always" codeName="ThisWorkbook" hidePivotFieldList="1"/>
  <mc:AlternateContent xmlns:mc="http://schemas.openxmlformats.org/markup-compatibility/2006">
    <mc:Choice Requires="x15">
      <x15ac:absPath xmlns:x15ac="http://schemas.microsoft.com/office/spreadsheetml/2010/11/ac" url="C:\Users\obles\Downloads\"/>
    </mc:Choice>
  </mc:AlternateContent>
  <xr:revisionPtr revIDLastSave="0" documentId="13_ncr:1_{B8C79483-8BA0-4360-A3CE-AD800FBDD212}"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_Table" sheetId="2" r:id="rId2"/>
    <sheet name="Dashboard" sheetId="3" r:id="rId3"/>
  </sheets>
  <definedNames>
    <definedName name="_xlnm._FilterDatabase" localSheetId="0" hidden="1">Sales_Data!$A$1:$P$501</definedName>
    <definedName name="NativeTimeline_Order_Date">#N/A</definedName>
    <definedName name="Slicer_City">#N/A</definedName>
    <definedName name="Slicer_Payment_Method">#N/A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Y2" i="1"/>
  <c r="W2" i="1"/>
  <c r="X2" i="1"/>
  <c r="V2"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alcChain>
</file>

<file path=xl/sharedStrings.xml><?xml version="1.0" encoding="utf-8"?>
<sst xmlns="http://schemas.openxmlformats.org/spreadsheetml/2006/main" count="4782" uniqueCount="644">
  <si>
    <t>Order_ID</t>
  </si>
  <si>
    <t>Order_Date</t>
  </si>
  <si>
    <t>Customer_ID</t>
  </si>
  <si>
    <t>Customer_Name</t>
  </si>
  <si>
    <t>Product</t>
  </si>
  <si>
    <t>Category</t>
  </si>
  <si>
    <t>Region</t>
  </si>
  <si>
    <t>City</t>
  </si>
  <si>
    <t>Quantity</t>
  </si>
  <si>
    <t>Unit_Price</t>
  </si>
  <si>
    <t>Discount</t>
  </si>
  <si>
    <t>Sales</t>
  </si>
  <si>
    <t>Cost</t>
  </si>
  <si>
    <t>Profit</t>
  </si>
  <si>
    <t>Payment_Method</t>
  </si>
  <si>
    <t>Sales_Channel</t>
  </si>
  <si>
    <t>ORD0001</t>
  </si>
  <si>
    <t>C004</t>
  </si>
  <si>
    <t>Sneha</t>
  </si>
  <si>
    <t>Laptop</t>
  </si>
  <si>
    <t>Electronics</t>
  </si>
  <si>
    <t>North</t>
  </si>
  <si>
    <t>Delhi</t>
  </si>
  <si>
    <t>UPI</t>
  </si>
  <si>
    <t>Website</t>
  </si>
  <si>
    <t>ORD0002</t>
  </si>
  <si>
    <t>C014</t>
  </si>
  <si>
    <t>Meena</t>
  </si>
  <si>
    <t>South</t>
  </si>
  <si>
    <t>Bengaluru</t>
  </si>
  <si>
    <t>ORD0003</t>
  </si>
  <si>
    <t>C018</t>
  </si>
  <si>
    <t>Kavya</t>
  </si>
  <si>
    <t>Bookshelf</t>
  </si>
  <si>
    <t>Furniture</t>
  </si>
  <si>
    <t>East</t>
  </si>
  <si>
    <t>Patna</t>
  </si>
  <si>
    <t>ORD0004</t>
  </si>
  <si>
    <t>Desk</t>
  </si>
  <si>
    <t>ORD0005</t>
  </si>
  <si>
    <t>West</t>
  </si>
  <si>
    <t>Mumbai</t>
  </si>
  <si>
    <t>Mobile App</t>
  </si>
  <si>
    <t>ORD0006</t>
  </si>
  <si>
    <t>Office Chair</t>
  </si>
  <si>
    <t>Ahmedabad</t>
  </si>
  <si>
    <t>ORD0007</t>
  </si>
  <si>
    <t>C008</t>
  </si>
  <si>
    <t>Neha</t>
  </si>
  <si>
    <t>Mixer Grinder</t>
  </si>
  <si>
    <t>Home Appliances</t>
  </si>
  <si>
    <t>Cash on Delivery</t>
  </si>
  <si>
    <t>ORD0008</t>
  </si>
  <si>
    <t>C012</t>
  </si>
  <si>
    <t>Divya</t>
  </si>
  <si>
    <t>Headphones</t>
  </si>
  <si>
    <t>ORD0009</t>
  </si>
  <si>
    <t>Bhubaneswar</t>
  </si>
  <si>
    <t>Credit Card</t>
  </si>
  <si>
    <t>ORD0010</t>
  </si>
  <si>
    <t>Air Fryer</t>
  </si>
  <si>
    <t>Pune</t>
  </si>
  <si>
    <t>ORD0011</t>
  </si>
  <si>
    <t>C011</t>
  </si>
  <si>
    <t>Manoj</t>
  </si>
  <si>
    <t>Smart Watch</t>
  </si>
  <si>
    <t>ORD0012</t>
  </si>
  <si>
    <t>Coffee Maker</t>
  </si>
  <si>
    <t>ORD0013</t>
  </si>
  <si>
    <t>Kolkata</t>
  </si>
  <si>
    <t>ORD0014</t>
  </si>
  <si>
    <t>C006</t>
  </si>
  <si>
    <t>Anjali</t>
  </si>
  <si>
    <t>Chennai</t>
  </si>
  <si>
    <t>ORD0015</t>
  </si>
  <si>
    <t>C001</t>
  </si>
  <si>
    <t>Rahul</t>
  </si>
  <si>
    <t>Jeans</t>
  </si>
  <si>
    <t>Fashion</t>
  </si>
  <si>
    <t>ORD0016</t>
  </si>
  <si>
    <t>Backpack</t>
  </si>
  <si>
    <t>Bags</t>
  </si>
  <si>
    <t>ORD0017</t>
  </si>
  <si>
    <t>C017</t>
  </si>
  <si>
    <t>Naveen</t>
  </si>
  <si>
    <t>T-Shirt</t>
  </si>
  <si>
    <t>Jaipur</t>
  </si>
  <si>
    <t>ORD0018</t>
  </si>
  <si>
    <t>Smartphone</t>
  </si>
  <si>
    <t>ORD0019</t>
  </si>
  <si>
    <t>C016</t>
  </si>
  <si>
    <t>Swathi</t>
  </si>
  <si>
    <t>ORD0020</t>
  </si>
  <si>
    <t>C020</t>
  </si>
  <si>
    <t>Asha</t>
  </si>
  <si>
    <t>Lucknow</t>
  </si>
  <si>
    <t>ORD0021</t>
  </si>
  <si>
    <t>Debit Card</t>
  </si>
  <si>
    <t>ORD0022</t>
  </si>
  <si>
    <t>ORD0023</t>
  </si>
  <si>
    <t>C002</t>
  </si>
  <si>
    <t>Priya</t>
  </si>
  <si>
    <t>Hyderabad</t>
  </si>
  <si>
    <t>ORD0024</t>
  </si>
  <si>
    <t>ORD0025</t>
  </si>
  <si>
    <t>ORD0026</t>
  </si>
  <si>
    <t>ORD0027</t>
  </si>
  <si>
    <t>C015</t>
  </si>
  <si>
    <t>Suresh</t>
  </si>
  <si>
    <t>ORD0028</t>
  </si>
  <si>
    <t>ORD0029</t>
  </si>
  <si>
    <t>ORD0030</t>
  </si>
  <si>
    <t>ORD0031</t>
  </si>
  <si>
    <t>C019</t>
  </si>
  <si>
    <t>Rohit</t>
  </si>
  <si>
    <t>ORD0032</t>
  </si>
  <si>
    <t>Shoes</t>
  </si>
  <si>
    <t>ORD0033</t>
  </si>
  <si>
    <t>ORD0034</t>
  </si>
  <si>
    <t>C003</t>
  </si>
  <si>
    <t>Arun</t>
  </si>
  <si>
    <t>ORD0035</t>
  </si>
  <si>
    <t>C013</t>
  </si>
  <si>
    <t>Akash</t>
  </si>
  <si>
    <t>ORD0036</t>
  </si>
  <si>
    <t>ORD0037</t>
  </si>
  <si>
    <t>ORD0038</t>
  </si>
  <si>
    <t>ORD0039</t>
  </si>
  <si>
    <t>C010</t>
  </si>
  <si>
    <t>Pooja</t>
  </si>
  <si>
    <t>ORD0040</t>
  </si>
  <si>
    <t>ORD0041</t>
  </si>
  <si>
    <t>C009</t>
  </si>
  <si>
    <t>Ravi</t>
  </si>
  <si>
    <t>ORD0042</t>
  </si>
  <si>
    <t>C005</t>
  </si>
  <si>
    <t>Kiran</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</si>
  <si>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</si>
  <si>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</si>
  <si>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</si>
  <si>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</si>
  <si>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</si>
  <si>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</si>
  <si>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</si>
  <si>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</si>
  <si>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</si>
  <si>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</si>
  <si>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</si>
  <si>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</si>
  <si>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</si>
  <si>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</si>
  <si>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</si>
  <si>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</si>
  <si>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</si>
  <si>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</si>
  <si>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</si>
  <si>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</si>
  <si>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</si>
  <si>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</si>
  <si>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</si>
  <si>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</si>
  <si>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</si>
  <si>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</si>
  <si>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</si>
  <si>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</si>
  <si>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</si>
  <si>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</si>
  <si>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</si>
  <si>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</si>
  <si>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</si>
  <si>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</si>
  <si>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</si>
  <si>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</si>
  <si>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</si>
  <si>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</si>
  <si>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</si>
  <si>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</si>
  <si>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</si>
  <si>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</si>
  <si>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</si>
  <si>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</si>
  <si>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</si>
  <si>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</si>
  <si>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</si>
  <si>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</si>
  <si>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</si>
  <si>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</si>
  <si>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</si>
  <si>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</si>
  <si>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</si>
  <si>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</si>
  <si>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</si>
  <si>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</si>
  <si>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</si>
  <si>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</si>
  <si>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</si>
  <si>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</si>
  <si>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</si>
  <si>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</si>
  <si>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</si>
  <si>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</si>
  <si>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</si>
  <si>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</si>
  <si>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</si>
  <si>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</si>
  <si>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</si>
  <si>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</si>
  <si>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C007</t>
  </si>
  <si>
    <t>Vijay</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</si>
  <si>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</si>
  <si>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</si>
  <si>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</si>
  <si>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</si>
  <si>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</si>
  <si>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</si>
  <si>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</si>
  <si>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</si>
  <si>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</si>
  <si>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</si>
  <si>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</si>
  <si>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</si>
  <si>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</si>
  <si>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</si>
  <si>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</si>
  <si>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</si>
  <si>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</si>
  <si>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</si>
  <si>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</si>
  <si>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</si>
  <si>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</si>
  <si>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</si>
  <si>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</si>
  <si>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</si>
  <si>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</si>
  <si>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</si>
  <si>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</si>
  <si>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</si>
  <si>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</si>
  <si>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</si>
  <si>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</si>
  <si>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</si>
  <si>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</si>
  <si>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</si>
  <si>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</si>
  <si>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</si>
  <si>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</si>
  <si>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</si>
  <si>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</si>
  <si>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</si>
  <si>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</si>
  <si>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</si>
  <si>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</si>
  <si>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</si>
  <si>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</si>
  <si>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</si>
  <si>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</si>
  <si>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</si>
  <si>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</si>
  <si>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</si>
  <si>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</si>
  <si>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</si>
  <si>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</si>
  <si>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</si>
  <si>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</si>
  <si>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</si>
  <si>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</si>
  <si>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</si>
  <si>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</si>
  <si>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</si>
  <si>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</si>
  <si>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</si>
  <si>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</si>
  <si>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</si>
  <si>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</si>
  <si>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</si>
  <si>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</si>
  <si>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</si>
  <si>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</si>
  <si>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</si>
  <si>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</si>
  <si>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</si>
  <si>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</si>
  <si>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</si>
  <si>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</si>
  <si>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</si>
  <si>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</si>
  <si>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</si>
  <si>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</si>
  <si>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</si>
  <si>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</si>
  <si>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</si>
  <si>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</si>
  <si>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</si>
  <si>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</si>
  <si>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</si>
  <si>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</si>
  <si>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</si>
  <si>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</si>
  <si>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</si>
  <si>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</si>
  <si>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</si>
  <si>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</si>
  <si>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</si>
  <si>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</si>
  <si>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</si>
  <si>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</si>
  <si>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</si>
  <si>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</si>
  <si>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</si>
  <si>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</si>
  <si>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</si>
  <si>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</si>
  <si>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</si>
  <si>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</si>
  <si>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</si>
  <si>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</si>
  <si>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</si>
  <si>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</si>
  <si>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</si>
  <si>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</si>
  <si>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</si>
  <si>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</si>
  <si>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</si>
  <si>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</si>
  <si>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</si>
  <si>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</si>
  <si>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</si>
  <si>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</si>
  <si>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</si>
  <si>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</si>
  <si>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</si>
  <si>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</si>
  <si>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</si>
  <si>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</si>
  <si>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</si>
  <si>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</si>
  <si>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</si>
  <si>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</si>
  <si>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</si>
  <si>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</si>
  <si>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</si>
  <si>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</si>
  <si>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</si>
  <si>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</si>
  <si>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</si>
  <si>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</si>
  <si>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</si>
  <si>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</si>
  <si>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</si>
  <si>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</si>
  <si>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</si>
  <si>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</si>
  <si>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</si>
  <si>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</si>
  <si>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</si>
  <si>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</si>
  <si>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</si>
  <si>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</si>
  <si>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</si>
  <si>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</si>
  <si>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</si>
  <si>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</si>
  <si>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</si>
  <si>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</si>
  <si>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</si>
  <si>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</si>
  <si>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</si>
  <si>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</si>
  <si>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</si>
  <si>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</si>
  <si>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</si>
  <si>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</si>
  <si>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</si>
  <si>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</si>
  <si>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</si>
  <si>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</si>
  <si>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</si>
  <si>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</si>
  <si>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</si>
  <si>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</si>
  <si>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</si>
  <si>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</si>
  <si>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</si>
  <si>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</si>
  <si>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</si>
  <si>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</si>
  <si>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</si>
  <si>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</si>
  <si>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</si>
  <si>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</si>
  <si>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</si>
  <si>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</si>
  <si>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</si>
  <si>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</si>
  <si>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</si>
  <si>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</si>
  <si>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</si>
  <si>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</si>
  <si>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</si>
  <si>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</si>
  <si>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</si>
  <si>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</si>
  <si>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</si>
  <si>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</si>
  <si>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</si>
  <si>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</si>
  <si>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</si>
  <si>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</si>
  <si>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</si>
  <si>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</si>
  <si>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</si>
  <si>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</si>
  <si>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</si>
  <si>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</si>
  <si>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</si>
  <si>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</si>
  <si>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</si>
  <si>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</si>
  <si>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</si>
  <si>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</si>
  <si>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</si>
  <si>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</si>
  <si>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</si>
  <si>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</si>
  <si>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</si>
  <si>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</si>
  <si>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</si>
  <si>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</si>
  <si>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</si>
  <si>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</si>
  <si>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</si>
  <si>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</si>
  <si>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</si>
  <si>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</si>
  <si>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</si>
  <si>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</si>
  <si>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</si>
  <si>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</si>
  <si>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</si>
  <si>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</si>
  <si>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</si>
  <si>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</si>
  <si>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</si>
  <si>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</si>
  <si>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</si>
  <si>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</si>
  <si>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</si>
  <si>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</si>
  <si>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</si>
  <si>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</si>
  <si>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</si>
  <si>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</si>
  <si>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</si>
  <si>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</si>
  <si>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</si>
  <si>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</si>
  <si>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</si>
  <si>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</si>
  <si>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</si>
  <si>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</si>
  <si>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</si>
  <si>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</si>
  <si>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</si>
  <si>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</si>
  <si>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</si>
  <si>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</si>
  <si>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</si>
  <si>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</si>
  <si>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</si>
  <si>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</si>
  <si>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</si>
  <si>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</si>
  <si>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</si>
  <si>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</si>
  <si>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</si>
  <si>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</si>
  <si>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</si>
  <si>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</si>
  <si>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</si>
  <si>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</si>
  <si>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</si>
  <si>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</si>
  <si>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</si>
  <si>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</si>
  <si>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</si>
  <si>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</si>
  <si>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</si>
  <si>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</si>
  <si>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</si>
  <si>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</si>
  <si>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</si>
  <si>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</si>
  <si>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</si>
  <si>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</si>
  <si>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</si>
  <si>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</si>
  <si>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</si>
  <si>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</si>
  <si>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</si>
  <si>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</si>
  <si>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</si>
  <si>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</si>
  <si>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</si>
  <si>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</si>
  <si>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</si>
  <si>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</si>
  <si>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</si>
  <si>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</si>
  <si>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</si>
  <si>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</si>
  <si>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</si>
  <si>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</si>
  <si>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</si>
  <si>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</si>
  <si>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</si>
  <si>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</si>
  <si>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</si>
  <si>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</si>
  <si>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</si>
  <si>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</si>
  <si>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</si>
  <si>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</si>
  <si>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</si>
  <si>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</si>
  <si>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</si>
  <si>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</si>
  <si>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</si>
  <si>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</si>
  <si>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</si>
  <si>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</si>
  <si>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</si>
  <si>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</si>
  <si>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</si>
  <si>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</si>
  <si>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</si>
  <si>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</si>
  <si>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</si>
  <si>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</si>
  <si>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</si>
  <si>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</si>
  <si>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</si>
  <si>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</si>
  <si>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</si>
  <si>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</si>
  <si>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</si>
  <si>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</si>
  <si>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</si>
  <si>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</si>
  <si>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</si>
  <si>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</si>
  <si>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</si>
  <si>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</si>
  <si>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</si>
  <si>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</si>
  <si>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</si>
  <si>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</si>
  <si>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</si>
  <si>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</si>
  <si>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</si>
  <si>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</si>
  <si>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</si>
  <si>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</si>
  <si>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</si>
  <si>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</si>
  <si>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</si>
  <si>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</si>
  <si>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</si>
  <si>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</si>
  <si>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</si>
  <si>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</si>
  <si>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</si>
  <si>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</si>
  <si>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</si>
  <si>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</si>
  <si>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</si>
  <si>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</si>
  <si>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</si>
  <si>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</si>
  <si>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</si>
  <si>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</si>
  <si>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</si>
  <si>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</si>
  <si>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</si>
  <si>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</si>
  <si>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</si>
  <si>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</si>
  <si>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</si>
  <si>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</si>
  <si>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</si>
  <si>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</si>
  <si>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</si>
  <si>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</si>
  <si>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</si>
  <si>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</si>
  <si>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</si>
  <si>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</si>
  <si>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</si>
  <si>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Which product category generates most sales</t>
  </si>
  <si>
    <t>Row Labels</t>
  </si>
  <si>
    <t>Grand Total</t>
  </si>
  <si>
    <t>Sum of Sales</t>
  </si>
  <si>
    <t>Sales by Region</t>
  </si>
  <si>
    <t>Which products generate the highest Sales.</t>
  </si>
  <si>
    <t>Top 5 Products</t>
  </si>
  <si>
    <t>Monthly Sales Trend.</t>
  </si>
  <si>
    <t>Month</t>
  </si>
  <si>
    <t>Jan</t>
  </si>
  <si>
    <t>Feb</t>
  </si>
  <si>
    <t>Mar</t>
  </si>
  <si>
    <t>Apr</t>
  </si>
  <si>
    <t>May</t>
  </si>
  <si>
    <t>Jun</t>
  </si>
  <si>
    <t>Jul</t>
  </si>
  <si>
    <t>Aug</t>
  </si>
  <si>
    <t>Sep</t>
  </si>
  <si>
    <t>Oct</t>
  </si>
  <si>
    <t>Nov</t>
  </si>
  <si>
    <t>Dec</t>
  </si>
  <si>
    <t xml:space="preserve">Sales by Sales Channel. </t>
  </si>
  <si>
    <t>Profit by Category.</t>
  </si>
  <si>
    <t>Profit_Margin</t>
  </si>
  <si>
    <t>Sum of Profit</t>
  </si>
  <si>
    <t>Sales by Category</t>
  </si>
  <si>
    <t>Sales by Product.</t>
  </si>
  <si>
    <t>Sales by Payment method.</t>
  </si>
  <si>
    <t>Profit by Payment Method</t>
  </si>
  <si>
    <t>Sales by City.</t>
  </si>
  <si>
    <t>Top 10 Customers by Sales.</t>
  </si>
  <si>
    <t>Top 10 Customers by Profit.</t>
  </si>
  <si>
    <t>Quantity Sold by Category.</t>
  </si>
  <si>
    <t>Sum of Quantity</t>
  </si>
  <si>
    <t>Average of Sales</t>
  </si>
  <si>
    <t>Average Profit by Category.</t>
  </si>
  <si>
    <t>Average of Profit</t>
  </si>
  <si>
    <t>Sales by Region and Category .</t>
  </si>
  <si>
    <t>Profit by Region and Category</t>
  </si>
  <si>
    <t xml:space="preserve">Sales by Channel vs Category </t>
  </si>
  <si>
    <t>Total_Sales</t>
  </si>
  <si>
    <t>Total_Profit</t>
  </si>
  <si>
    <t>Total_Orders</t>
  </si>
  <si>
    <t>Total_Quantity</t>
  </si>
  <si>
    <t>Average_Order Value</t>
  </si>
  <si>
    <t>Average Sales by Category.</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</si>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</sst>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0,&quot;K&quot;"/>
    <numFmt numFmtId="165" formatCode="\$#,###,&quot;M&quot;"/>
    <numFmt numFmtId="166" formatCode="&quot;₹&quot;\ #,##0.00"/>
  </numFmts>
  <fonts count="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10" fontId="0" fillId="0" borderId="0" xfId="0" applyNumberFormat="1"/>
    <xf numFmtId="43" fontId="0" fillId="0" borderId="0" xfId="1" applyFont="1"/>
    <xf numFmtId="44" fontId="0" fillId="0" borderId="0" xfId="1" applyNumberFormat="1" applyFont="1"/>
    <xf numFmtId="2" fontId="0" fillId="0" borderId="0" xfId="0" applyNumberFormat="1"/>
    <xf numFmtId="0" fontId="3" fillId="0" borderId="0" xfId="0" applyFont="1"/>
    <xf numFmtId="0" fontId="0" fillId="0" borderId="0" xfId="0" quotePrefix="1"/>
    <xf numFmtId="164" fontId="0" fillId="0" borderId="0" xfId="0" applyNumberFormat="1"/>
    <xf numFmtId="164" fontId="0" fillId="0" borderId="0" xfId="0" applyNumberFormat="1" applyAlignment="1">
      <alignment horizontal="left"/>
    </xf>
    <xf numFmtId="165" fontId="0" fillId="0" borderId="0" xfId="0" applyNumberFormat="1"/>
    <xf numFmtId="166"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4" fillId="0" borderId="1" xfId="0" applyFont="1" applyBorder="1" applyAlignment="1">
      <alignment horizontal="center" vertical="top"/>
    </xf>
    <xf numFmtId="0" fontId="0" fillId="2" borderId="0" xfId="0" applyFill="1"/>
    <xf numFmtId="0" fontId="0" fillId="0" borderId="0" xfId="0" applyAlignment="1">
      <alignment horizontal="center"/>
    </xf>
  </cellXfs>
  <cellStyles count="2">
    <cellStyle name="Comma" xfId="1" builtinId="3"/>
    <cellStyle name="Normal" xfId="0" builtinId="0"/>
  </cellStyles>
  <dxfs count="45">
    <dxf>
      <numFmt numFmtId="35" formatCode="_ * #,##0.00_ ;_ * \-#,##0.00_ ;_ * &quot;-&quot;??_ ;_ @_ "/>
    </dxf>
    <dxf>
      <numFmt numFmtId="0" formatCode="General"/>
    </dxf>
    <dxf>
      <numFmt numFmtId="35" formatCode="_ * #,##0.00_ ;_ * \-#,##0.00_ ;_ * &quot;-&quot;??_ ;_ @_ "/>
    </dxf>
    <dxf>
      <numFmt numFmtId="165" formatCode="\$#,###,&quot;M&quot;"/>
    </dxf>
    <dxf>
      <numFmt numFmtId="164" formatCode="\$#,##0,&quot;K&quot;"/>
    </dxf>
    <dxf>
      <numFmt numFmtId="164" formatCode="\$#,##0,&quot;K&quot;"/>
    </dxf>
    <dxf>
      <numFmt numFmtId="2" formatCode="0.00"/>
    </dxf>
    <dxf>
      <numFmt numFmtId="35" formatCode="_ * #,##0.00_ ;_ * \-#,##0.00_ ;_ * &quot;-&quot;??_ ;_ @_ "/>
    </dxf>
    <dxf>
      <numFmt numFmtId="165" formatCode="\$#,###,&quot;M&quot;"/>
    </dxf>
    <dxf>
      <numFmt numFmtId="164" formatCode="\$#,##0,&quot;K&quot;"/>
    </dxf>
    <dxf>
      <numFmt numFmtId="165" formatCode="\$#,###,&quot;M&quot;"/>
    </dxf>
    <dxf>
      <numFmt numFmtId="164" formatCode="\$#,##0,&quot;K&quot;"/>
    </dxf>
    <dxf>
      <numFmt numFmtId="164" formatCode="\$#,##0,&quot;K&quot;"/>
    </dxf>
    <dxf>
      <numFmt numFmtId="164" formatCode="\$#,##0,&quot;K&quot;"/>
    </dxf>
    <dxf>
      <numFmt numFmtId="165" formatCode="\$#,###,&quot;M&quot;"/>
    </dxf>
    <dxf>
      <numFmt numFmtId="165" formatCode="\$#,###,&quot;M&quot;"/>
    </dxf>
    <dxf>
      <numFmt numFmtId="2" formatCode="0.00"/>
    </dxf>
    <dxf>
      <numFmt numFmtId="165" formatCode="\$#,###,&quot;M&quo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0,&quot;K&quot;"/>
    </dxf>
    <dxf>
      <numFmt numFmtId="35" formatCode="_ * #,##0.00_ ;_ * \-#,##0.00_ ;_ * &quot;-&quot;??_ ;_ @_ "/>
    </dxf>
    <dxf>
      <numFmt numFmtId="164" formatCode="\$#,##0,&quot;K&quot;"/>
    </dxf>
    <dxf>
      <numFmt numFmtId="164" formatCode="\$#,##0,&quot;K&quot;"/>
    </dxf>
    <dxf>
      <numFmt numFmtId="165" formatCode="\$#,###,&quot;M&quot;"/>
    </dxf>
    <dxf>
      <numFmt numFmtId="164" formatCode="\$#,##0,&quot;K&quot;"/>
    </dxf>
    <dxf>
      <numFmt numFmtId="164" formatCode="\$#,##0,&quot;K&quot;"/>
    </dxf>
    <dxf>
      <numFmt numFmtId="164" formatCode="\$#,##0,&quot;K&quot;"/>
    </dxf>
    <dxf>
      <numFmt numFmtId="164" formatCode="\$#,##0,&quot;K&quot;"/>
    </dxf>
    <dxf>
      <numFmt numFmtId="164" formatCode="\$#,##0,&quot;K&quot;"/>
    </dxf>
    <dxf>
      <numFmt numFmtId="165" formatCode="\$#,###,&quot;M&quot;"/>
    </dxf>
    <dxf>
      <numFmt numFmtId="164" formatCode="\$#,##0,&quot;K&quot;"/>
    </dxf>
    <dxf>
      <numFmt numFmtId="165" formatCode="\$#,###,&quot;M&quot;"/>
    </dxf>
    <dxf>
      <numFmt numFmtId="35" formatCode="_ * #,##0.00_ ;_ * \-#,##0.00_ ;_ * &quot;-&quot;??_ ;_ @_ "/>
    </dxf>
    <dxf>
      <numFmt numFmtId="165" formatCode="\$#,###,&quot;M&quot;"/>
    </dxf>
    <dxf>
      <numFmt numFmtId="164" formatCode="\$#,##0,&quot;K&quot;"/>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layout>
        <c:manualLayout>
          <c:xMode val="edge"/>
          <c:yMode val="edge"/>
          <c:x val="0.40922222222222221"/>
          <c:y val="3.8629786661282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Pivot_Table!$B$76:$B$81</c:f>
              <c:strCache>
                <c:ptCount val="5"/>
                <c:pt idx="0">
                  <c:v>Bags</c:v>
                </c:pt>
                <c:pt idx="1">
                  <c:v>Electronics</c:v>
                </c:pt>
                <c:pt idx="2">
                  <c:v>Fashion</c:v>
                </c:pt>
                <c:pt idx="3">
                  <c:v>Furniture</c:v>
                </c:pt>
                <c:pt idx="4">
                  <c:v>Home Appliances</c:v>
                </c:pt>
              </c:strCache>
            </c:strRef>
          </c:cat>
          <c:val>
            <c:numRef>
              <c:f>Pivot_Table!$C$76:$C$81</c:f>
              <c:numCache>
                <c:formatCode>\$#,##0,"K"</c:formatCode>
                <c:ptCount val="5"/>
                <c:pt idx="0">
                  <c:v>165870</c:v>
                </c:pt>
                <c:pt idx="1">
                  <c:v>8077250</c:v>
                </c:pt>
                <c:pt idx="2">
                  <c:v>651780</c:v>
                </c:pt>
                <c:pt idx="3">
                  <c:v>2678150</c:v>
                </c:pt>
                <c:pt idx="4">
                  <c:v>1301225</c:v>
                </c:pt>
              </c:numCache>
            </c:numRef>
          </c:val>
          <c:extLst>
            <c:ext xmlns:c16="http://schemas.microsoft.com/office/drawing/2014/chart" uri="{C3380CC4-5D6E-409C-BE32-E72D297353CC}">
              <c16:uniqueId val="{00000000-18E1-44EF-AFE7-992BD4CB3C24}"/>
            </c:ext>
          </c:extLst>
        </c:ser>
        <c:dLbls>
          <c:dLblPos val="outEnd"/>
          <c:showLegendKey val="0"/>
          <c:showVal val="1"/>
          <c:showCatName val="0"/>
          <c:showSerName val="0"/>
          <c:showPercent val="0"/>
          <c:showBubbleSize val="0"/>
        </c:dLbls>
        <c:gapWidth val="219"/>
        <c:overlap val="-27"/>
        <c:axId val="1091382031"/>
        <c:axId val="986902895"/>
      </c:barChart>
      <c:catAx>
        <c:axId val="109138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902895"/>
        <c:crosses val="autoZero"/>
        <c:auto val="1"/>
        <c:lblAlgn val="ctr"/>
        <c:lblOffset val="100"/>
        <c:noMultiLvlLbl val="0"/>
      </c:catAx>
      <c:valAx>
        <c:axId val="986902895"/>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8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1492013392469703"/>
          <c:y val="3.8161561246646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62485163764786E-2"/>
          <c:y val="0.21387179306728177"/>
          <c:w val="0.81004904310698256"/>
          <c:h val="0.57737933351646231"/>
        </c:manualLayout>
      </c:layout>
      <c:lineChart>
        <c:grouping val="standard"/>
        <c:varyColors val="0"/>
        <c:ser>
          <c:idx val="0"/>
          <c:order val="0"/>
          <c:tx>
            <c:strRef>
              <c:f>Pivot_Table!$C$38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Pivot_Table!$B$39:$B$51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Pivot_Table!$C$39:$C$51</c:f>
              <c:numCache>
                <c:formatCode>\$#,##0,"K"</c:formatCode>
                <c:ptCount val="12"/>
                <c:pt idx="0">
                  <c:v>1073775</c:v>
                </c:pt>
                <c:pt idx="1">
                  <c:v>1292025</c:v>
                </c:pt>
                <c:pt idx="2">
                  <c:v>1100950</c:v>
                </c:pt>
                <c:pt idx="3">
                  <c:v>739550</c:v>
                </c:pt>
                <c:pt idx="4">
                  <c:v>1200835</c:v>
                </c:pt>
                <c:pt idx="5">
                  <c:v>647265</c:v>
                </c:pt>
                <c:pt idx="6">
                  <c:v>624890</c:v>
                </c:pt>
                <c:pt idx="7">
                  <c:v>503915</c:v>
                </c:pt>
                <c:pt idx="8">
                  <c:v>1603910</c:v>
                </c:pt>
                <c:pt idx="9">
                  <c:v>1448995</c:v>
                </c:pt>
                <c:pt idx="10">
                  <c:v>1237925</c:v>
                </c:pt>
                <c:pt idx="11">
                  <c:v>1400240</c:v>
                </c:pt>
              </c:numCache>
            </c:numRef>
          </c:val>
          <c:smooth val="0"/>
          <c:extLst>
            <c:ext xmlns:c16="http://schemas.microsoft.com/office/drawing/2014/chart" uri="{C3380CC4-5D6E-409C-BE32-E72D297353CC}">
              <c16:uniqueId val="{00000000-B1EB-4D31-9D23-0C5EB8A370D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107735183"/>
        <c:axId val="987035855"/>
      </c:lineChart>
      <c:catAx>
        <c:axId val="11077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5855"/>
        <c:crosses val="autoZero"/>
        <c:auto val="1"/>
        <c:lblAlgn val="ctr"/>
        <c:lblOffset val="100"/>
        <c:noMultiLvlLbl val="0"/>
      </c:catAx>
      <c:valAx>
        <c:axId val="98703585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7351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layout>
        <c:manualLayout>
          <c:xMode val="edge"/>
          <c:yMode val="edge"/>
          <c:x val="0.35050624561596067"/>
          <c:y val="4.9429302133616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2523875304869275E-2"/>
              <c:y val="-0.237454625052443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538711032772008E-3"/>
              <c:y val="-0.289578811039565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9077422065543297E-3"/>
              <c:y val="-0.26062092993560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538711032771649E-3"/>
              <c:y val="-0.23166304883165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538711032771649E-3"/>
              <c:y val="-0.16795571040294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9739218087531"/>
          <c:y val="0.31134122688932209"/>
          <c:w val="0.72586241021569242"/>
          <c:h val="0.43344531334819947"/>
        </c:manualLayout>
      </c:layout>
      <c:areaChart>
        <c:grouping val="standard"/>
        <c:varyColors val="0"/>
        <c:ser>
          <c:idx val="0"/>
          <c:order val="0"/>
          <c:tx>
            <c:strRef>
              <c:f>Pivot_Table!$C$64</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1-E422-4124-AB3E-15A67A160408}"/>
              </c:ext>
            </c:extLst>
          </c:dPt>
          <c:dPt>
            <c:idx val="1"/>
            <c:bubble3D val="0"/>
            <c:extLst>
              <c:ext xmlns:c16="http://schemas.microsoft.com/office/drawing/2014/chart" uri="{C3380CC4-5D6E-409C-BE32-E72D297353CC}">
                <c16:uniqueId val="{00000002-E422-4124-AB3E-15A67A160408}"/>
              </c:ext>
            </c:extLst>
          </c:dPt>
          <c:dPt>
            <c:idx val="2"/>
            <c:bubble3D val="0"/>
            <c:extLst>
              <c:ext xmlns:c16="http://schemas.microsoft.com/office/drawing/2014/chart" uri="{C3380CC4-5D6E-409C-BE32-E72D297353CC}">
                <c16:uniqueId val="{00000003-E422-4124-AB3E-15A67A160408}"/>
              </c:ext>
            </c:extLst>
          </c:dPt>
          <c:dPt>
            <c:idx val="3"/>
            <c:bubble3D val="0"/>
            <c:extLst>
              <c:ext xmlns:c16="http://schemas.microsoft.com/office/drawing/2014/chart" uri="{C3380CC4-5D6E-409C-BE32-E72D297353CC}">
                <c16:uniqueId val="{00000004-E422-4124-AB3E-15A67A160408}"/>
              </c:ext>
            </c:extLst>
          </c:dPt>
          <c:dPt>
            <c:idx val="4"/>
            <c:bubble3D val="0"/>
            <c:extLst>
              <c:ext xmlns:c16="http://schemas.microsoft.com/office/drawing/2014/chart" uri="{C3380CC4-5D6E-409C-BE32-E72D297353CC}">
                <c16:uniqueId val="{00000005-E422-4124-AB3E-15A67A160408}"/>
              </c:ext>
            </c:extLst>
          </c:dPt>
          <c:dLbls>
            <c:dLbl>
              <c:idx val="0"/>
              <c:layout>
                <c:manualLayout>
                  <c:x val="6.2523875304869275E-2"/>
                  <c:y val="-0.237454625052443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22-4124-AB3E-15A67A160408}"/>
                </c:ext>
              </c:extLst>
            </c:dLbl>
            <c:dLbl>
              <c:idx val="1"/>
              <c:layout>
                <c:manualLayout>
                  <c:x val="1.9538711032772008E-3"/>
                  <c:y val="-0.289578811039565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22-4124-AB3E-15A67A160408}"/>
                </c:ext>
              </c:extLst>
            </c:dLbl>
            <c:dLbl>
              <c:idx val="2"/>
              <c:layout>
                <c:manualLayout>
                  <c:x val="-3.9077422065543297E-3"/>
                  <c:y val="-0.26062092993560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22-4124-AB3E-15A67A160408}"/>
                </c:ext>
              </c:extLst>
            </c:dLbl>
            <c:dLbl>
              <c:idx val="3"/>
              <c:layout>
                <c:manualLayout>
                  <c:x val="1.9538711032771649E-3"/>
                  <c:y val="-0.23166304883165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22-4124-AB3E-15A67A160408}"/>
                </c:ext>
              </c:extLst>
            </c:dLbl>
            <c:dLbl>
              <c:idx val="4"/>
              <c:layout>
                <c:manualLayout>
                  <c:x val="-1.9538711032771649E-3"/>
                  <c:y val="-0.16795571040294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22-4124-AB3E-15A67A1604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Pivot_Table!$B$65:$B$70</c:f>
              <c:strCache>
                <c:ptCount val="5"/>
                <c:pt idx="0">
                  <c:v>Bags</c:v>
                </c:pt>
                <c:pt idx="1">
                  <c:v>Electronics</c:v>
                </c:pt>
                <c:pt idx="2">
                  <c:v>Fashion</c:v>
                </c:pt>
                <c:pt idx="3">
                  <c:v>Furniture</c:v>
                </c:pt>
                <c:pt idx="4">
                  <c:v>Home Appliances</c:v>
                </c:pt>
              </c:strCache>
            </c:strRef>
          </c:cat>
          <c:val>
            <c:numRef>
              <c:f>Pivot_Table!$C$65:$C$70</c:f>
              <c:numCache>
                <c:formatCode>General</c:formatCode>
                <c:ptCount val="5"/>
                <c:pt idx="0">
                  <c:v>58070</c:v>
                </c:pt>
                <c:pt idx="1">
                  <c:v>1210150</c:v>
                </c:pt>
                <c:pt idx="2">
                  <c:v>229380</c:v>
                </c:pt>
                <c:pt idx="3">
                  <c:v>709550</c:v>
                </c:pt>
                <c:pt idx="4">
                  <c:v>341525</c:v>
                </c:pt>
              </c:numCache>
            </c:numRef>
          </c:val>
          <c:extLst>
            <c:ext xmlns:c16="http://schemas.microsoft.com/office/drawing/2014/chart" uri="{C3380CC4-5D6E-409C-BE32-E72D297353CC}">
              <c16:uniqueId val="{00000000-E422-4124-AB3E-15A67A160408}"/>
            </c:ext>
          </c:extLst>
        </c:ser>
        <c:dLbls>
          <c:showLegendKey val="0"/>
          <c:showVal val="1"/>
          <c:showCatName val="0"/>
          <c:showSerName val="0"/>
          <c:showPercent val="0"/>
          <c:showBubbleSize val="0"/>
        </c:dLbls>
        <c:axId val="1120419983"/>
        <c:axId val="987034415"/>
      </c:areaChart>
      <c:catAx>
        <c:axId val="1120419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4415"/>
        <c:crosses val="autoZero"/>
        <c:auto val="1"/>
        <c:lblAlgn val="ctr"/>
        <c:lblOffset val="100"/>
        <c:noMultiLvlLbl val="0"/>
      </c:catAx>
      <c:valAx>
        <c:axId val="98703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19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Payment Method</a:t>
            </a:r>
          </a:p>
          <a:p>
            <a:pPr>
              <a:defRPr/>
            </a:pPr>
            <a:endParaRPr lang="en-US"/>
          </a:p>
        </c:rich>
      </c:tx>
      <c:layout>
        <c:manualLayout>
          <c:xMode val="edge"/>
          <c:yMode val="edge"/>
          <c:x val="0.3303127284356725"/>
          <c:y val="2.68917242601453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Pivot_Table!$B$117:$B$121</c:f>
              <c:strCache>
                <c:ptCount val="4"/>
                <c:pt idx="0">
                  <c:v>Cash on Delivery</c:v>
                </c:pt>
                <c:pt idx="1">
                  <c:v>Credit Card</c:v>
                </c:pt>
                <c:pt idx="2">
                  <c:v>Debit Card</c:v>
                </c:pt>
                <c:pt idx="3">
                  <c:v>UPI</c:v>
                </c:pt>
              </c:strCache>
            </c:strRef>
          </c:cat>
          <c:val>
            <c:numRef>
              <c:f>Pivot_Table!$C$117:$C$121</c:f>
              <c:numCache>
                <c:formatCode>\$#,##0,"K"</c:formatCode>
                <c:ptCount val="4"/>
                <c:pt idx="0">
                  <c:v>573795</c:v>
                </c:pt>
                <c:pt idx="1">
                  <c:v>660440</c:v>
                </c:pt>
                <c:pt idx="2">
                  <c:v>693015</c:v>
                </c:pt>
                <c:pt idx="3">
                  <c:v>621425</c:v>
                </c:pt>
              </c:numCache>
            </c:numRef>
          </c:val>
          <c:extLst>
            <c:ext xmlns:c16="http://schemas.microsoft.com/office/drawing/2014/chart" uri="{C3380CC4-5D6E-409C-BE32-E72D297353CC}">
              <c16:uniqueId val="{00000000-904C-4532-9F79-ADDFF4828AFF}"/>
            </c:ext>
          </c:extLst>
        </c:ser>
        <c:dLbls>
          <c:dLblPos val="outEnd"/>
          <c:showLegendKey val="0"/>
          <c:showVal val="1"/>
          <c:showCatName val="0"/>
          <c:showSerName val="0"/>
          <c:showPercent val="0"/>
          <c:showBubbleSize val="0"/>
        </c:dLbls>
        <c:gapWidth val="182"/>
        <c:axId val="1120446431"/>
        <c:axId val="986923535"/>
      </c:barChart>
      <c:catAx>
        <c:axId val="112044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923535"/>
        <c:crosses val="autoZero"/>
        <c:auto val="1"/>
        <c:lblAlgn val="ctr"/>
        <c:lblOffset val="100"/>
        <c:noMultiLvlLbl val="0"/>
      </c:catAx>
      <c:valAx>
        <c:axId val="986923535"/>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4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31531639116518817"/>
          <c:y val="3.46253037379760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Pivot_Table!$C$13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B-402F-B0E0-84F654657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B-402F-B0E0-84F654657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B-402F-B0E0-84F654657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BB-402F-B0E0-84F6546576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Pivot_Table!$B$14:$B$18</c:f>
              <c:strCache>
                <c:ptCount val="4"/>
                <c:pt idx="0">
                  <c:v>East</c:v>
                </c:pt>
                <c:pt idx="1">
                  <c:v>North</c:v>
                </c:pt>
                <c:pt idx="2">
                  <c:v>South</c:v>
                </c:pt>
                <c:pt idx="3">
                  <c:v>West</c:v>
                </c:pt>
              </c:strCache>
            </c:strRef>
          </c:cat>
          <c:val>
            <c:numRef>
              <c:f>Pivot_Table!$C$14:$C$18</c:f>
              <c:numCache>
                <c:formatCode>\$#,##0,"K"</c:formatCode>
                <c:ptCount val="4"/>
                <c:pt idx="0">
                  <c:v>3669420</c:v>
                </c:pt>
                <c:pt idx="1">
                  <c:v>3271330</c:v>
                </c:pt>
                <c:pt idx="2">
                  <c:v>2967695</c:v>
                </c:pt>
                <c:pt idx="3">
                  <c:v>2965830</c:v>
                </c:pt>
              </c:numCache>
            </c:numRef>
          </c:val>
          <c:extLst>
            <c:ext xmlns:c16="http://schemas.microsoft.com/office/drawing/2014/chart" uri="{C3380CC4-5D6E-409C-BE32-E72D297353CC}">
              <c16:uniqueId val="{00000008-4EBB-402F-B0E0-84F6546576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by Sales Channel</a:t>
            </a:r>
            <a:endParaRPr lang="en-US"/>
          </a:p>
        </c:rich>
      </c:tx>
      <c:layout>
        <c:manualLayout>
          <c:xMode val="edge"/>
          <c:yMode val="edge"/>
          <c:x val="0.25680219651828484"/>
          <c:y val="2.8626674212412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Pivot_Table!$C$56</c:f>
              <c:strCache>
                <c:ptCount val="1"/>
                <c:pt idx="0">
                  <c:v>Total</c:v>
                </c:pt>
              </c:strCache>
            </c:strRef>
          </c:tx>
          <c:spPr>
            <a:solidFill>
              <a:schemeClr val="accent1"/>
            </a:solidFill>
            <a:ln>
              <a:noFill/>
            </a:ln>
            <a:effectLst/>
          </c:spPr>
          <c:invertIfNegative val="0"/>
          <c:cat>
            <c:strRef>
              <c:f>Pivot_Table!$B$57:$B$59</c:f>
              <c:strCache>
                <c:ptCount val="2"/>
                <c:pt idx="0">
                  <c:v>Mobile App</c:v>
                </c:pt>
                <c:pt idx="1">
                  <c:v>Website</c:v>
                </c:pt>
              </c:strCache>
            </c:strRef>
          </c:cat>
          <c:val>
            <c:numRef>
              <c:f>Pivot_Table!$C$57:$C$59</c:f>
              <c:numCache>
                <c:formatCode>\$#,##0,"K"</c:formatCode>
                <c:ptCount val="2"/>
                <c:pt idx="0">
                  <c:v>6211665</c:v>
                </c:pt>
                <c:pt idx="1">
                  <c:v>6662610</c:v>
                </c:pt>
              </c:numCache>
            </c:numRef>
          </c:val>
          <c:extLst>
            <c:ext xmlns:c16="http://schemas.microsoft.com/office/drawing/2014/chart" uri="{C3380CC4-5D6E-409C-BE32-E72D297353CC}">
              <c16:uniqueId val="{00000000-0782-4C60-95B2-4558ED9EC0D1}"/>
            </c:ext>
          </c:extLst>
        </c:ser>
        <c:dLbls>
          <c:showLegendKey val="0"/>
          <c:showVal val="0"/>
          <c:showCatName val="0"/>
          <c:showSerName val="0"/>
          <c:showPercent val="0"/>
          <c:showBubbleSize val="0"/>
        </c:dLbls>
        <c:gapWidth val="150"/>
        <c:overlap val="100"/>
        <c:axId val="1120431119"/>
        <c:axId val="987037775"/>
      </c:barChart>
      <c:catAx>
        <c:axId val="112043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7775"/>
        <c:crosses val="autoZero"/>
        <c:auto val="1"/>
        <c:lblAlgn val="ctr"/>
        <c:lblOffset val="100"/>
        <c:noMultiLvlLbl val="0"/>
      </c:catAx>
      <c:valAx>
        <c:axId val="98703777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1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[E-commerce_sales_dataset.xlsx]Pivot_Table!PivotTable4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9182842866050718E-17"/>
              <c:y val="-0.126666234472165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5116482301048532E-2"/>
              <c:y val="-5.1818005011340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9261065897814124E-2"/>
              <c:y val="5.1818005011340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212871365558917E-2"/>
              <c:y val="4.0302892786598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999199194082106"/>
              <c:y val="-8.63633416855676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Pivot_Table!$C$27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40-4E9A-A48F-CE1891F298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40-4E9A-A48F-CE1891F298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40-4E9A-A48F-CE1891F298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40-4E9A-A48F-CE1891F298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40-4E9A-A48F-CE1891F298FA}"/>
              </c:ext>
            </c:extLst>
          </c:dPt>
          <c:dLbls>
            <c:dLbl>
              <c:idx val="0"/>
              <c:layout>
                <c:manualLayout>
                  <c:x val="-4.9182842866050718E-17"/>
                  <c:y val="-0.126666234472165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40-4E9A-A48F-CE1891F298FA}"/>
                </c:ext>
              </c:extLst>
            </c:dLbl>
            <c:dLbl>
              <c:idx val="1"/>
              <c:layout>
                <c:manualLayout>
                  <c:x val="7.5116482301048532E-2"/>
                  <c:y val="-5.1818005011340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40-4E9A-A48F-CE1891F298FA}"/>
                </c:ext>
              </c:extLst>
            </c:dLbl>
            <c:dLbl>
              <c:idx val="2"/>
              <c:layout>
                <c:manualLayout>
                  <c:x val="9.9261065897814124E-2"/>
                  <c:y val="5.18180050113404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40-4E9A-A48F-CE1891F298FA}"/>
                </c:ext>
              </c:extLst>
            </c:dLbl>
            <c:dLbl>
              <c:idx val="3"/>
              <c:layout>
                <c:manualLayout>
                  <c:x val="-9.1212871365558917E-2"/>
                  <c:y val="4.0302892786598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40-4E9A-A48F-CE1891F298FA}"/>
                </c:ext>
              </c:extLst>
            </c:dLbl>
            <c:dLbl>
              <c:idx val="4"/>
              <c:layout>
                <c:manualLayout>
                  <c:x val="-0.10999199194082106"/>
                  <c:y val="-8.6363341685567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40-4E9A-A48F-CE1891F298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Pivot_Table!$B$28:$B$33</c:f>
              <c:strCache>
                <c:ptCount val="5"/>
                <c:pt idx="0">
                  <c:v>Bookshelf</c:v>
                </c:pt>
                <c:pt idx="1">
                  <c:v>Desk</c:v>
                </c:pt>
                <c:pt idx="2">
                  <c:v>Laptop</c:v>
                </c:pt>
                <c:pt idx="3">
                  <c:v>Office Chair</c:v>
                </c:pt>
                <c:pt idx="4">
                  <c:v>Smartphone</c:v>
                </c:pt>
              </c:strCache>
            </c:strRef>
          </c:cat>
          <c:val>
            <c:numRef>
              <c:f>Pivot_Table!$C$28:$C$33</c:f>
              <c:numCache>
                <c:formatCode>\$#,##0,"K"</c:formatCode>
                <c:ptCount val="5"/>
                <c:pt idx="0">
                  <c:v>700350</c:v>
                </c:pt>
                <c:pt idx="1">
                  <c:v>975000</c:v>
                </c:pt>
                <c:pt idx="2">
                  <c:v>5153500</c:v>
                </c:pt>
                <c:pt idx="3">
                  <c:v>1002800</c:v>
                </c:pt>
                <c:pt idx="4">
                  <c:v>2073750</c:v>
                </c:pt>
              </c:numCache>
            </c:numRef>
          </c:val>
          <c:extLst>
            <c:ext xmlns:c16="http://schemas.microsoft.com/office/drawing/2014/chart" uri="{C3380CC4-5D6E-409C-BE32-E72D297353CC}">
              <c16:uniqueId val="{0000000A-CC40-4E9A-A48F-CE1891F298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26" Type="http://schemas.openxmlformats.org/officeDocument/2006/relationships/hyperlink" Target="#Sales_Data!A1"/><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5" Type="http://schemas.openxmlformats.org/officeDocument/2006/relationships/hyperlink" Target="#Pivot_Table!A1"/><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7.xml"/><Relationship Id="rId28" Type="http://schemas.openxmlformats.org/officeDocument/2006/relationships/image" Target="../media/image18.svg"/><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6.xml"/><Relationship Id="rId27"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0</xdr:rowOff>
    </xdr:from>
    <xdr:to>
      <xdr:col>1</xdr:col>
      <xdr:colOff>243840</xdr:colOff>
      <xdr:row>1</xdr:row>
      <xdr:rowOff>91440</xdr:rowOff>
    </xdr:to>
    <xdr:sp macro="" textlink="">
      <xdr:nvSpPr>
        <xdr:cNvPr id="3" name="Rectangle: Rounded Corners 2">
          <a:extLst>
            <a:ext uri="{FF2B5EF4-FFF2-40B4-BE49-F238E27FC236}">
              <a16:creationId xmlns:a16="http://schemas.microsoft.com/office/drawing/2014/main" id="{BD7AFE41-9705-4C8D-8EA3-5B8CA799848C}"/>
            </a:ext>
          </a:extLst>
        </xdr:cNvPr>
        <xdr:cNvSpPr/>
      </xdr:nvSpPr>
      <xdr:spPr>
        <a:xfrm>
          <a:off x="99060" y="0"/>
          <a:ext cx="754380" cy="274320"/>
        </a:xfrm>
        <a:prstGeom prst="roundRect">
          <a:avLst>
            <a:gd name="adj" fmla="val 40477"/>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99060</xdr:colOff>
      <xdr:row>0</xdr:row>
      <xdr:rowOff>60960</xdr:rowOff>
    </xdr:from>
    <xdr:to>
      <xdr:col>1</xdr:col>
      <xdr:colOff>220980</xdr:colOff>
      <xdr:row>1</xdr:row>
      <xdr:rowOff>45720</xdr:rowOff>
    </xdr:to>
    <xdr:sp macro="" textlink="">
      <xdr:nvSpPr>
        <xdr:cNvPr id="4" name="TextBox 3">
          <a:hlinkClick xmlns:r="http://schemas.openxmlformats.org/officeDocument/2006/relationships" r:id="rId1"/>
          <a:extLst>
            <a:ext uri="{FF2B5EF4-FFF2-40B4-BE49-F238E27FC236}">
              <a16:creationId xmlns:a16="http://schemas.microsoft.com/office/drawing/2014/main" id="{6385C5AE-CCE1-D675-C37A-D51671270F3D}"/>
            </a:ext>
          </a:extLst>
        </xdr:cNvPr>
        <xdr:cNvSpPr txBox="1"/>
      </xdr:nvSpPr>
      <xdr:spPr>
        <a:xfrm>
          <a:off x="99060" y="6096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571076</xdr:colOff>
      <xdr:row>0</xdr:row>
      <xdr:rowOff>0</xdr:rowOff>
    </xdr:from>
    <xdr:to>
      <xdr:col>29</xdr:col>
      <xdr:colOff>467444</xdr:colOff>
      <xdr:row>50</xdr:row>
      <xdr:rowOff>38101</xdr:rowOff>
    </xdr:to>
    <xdr:sp macro="" textlink="">
      <xdr:nvSpPr>
        <xdr:cNvPr id="2" name="Rectangle: Rounded Corners 1">
          <a:extLst>
            <a:ext uri="{FF2B5EF4-FFF2-40B4-BE49-F238E27FC236}">
              <a16:creationId xmlns:a16="http://schemas.microsoft.com/office/drawing/2014/main" id="{5C1D8488-1605-5DCA-A4FA-2E6AEF0EA2C7}"/>
            </a:ext>
          </a:extLst>
        </xdr:cNvPr>
        <xdr:cNvSpPr/>
      </xdr:nvSpPr>
      <xdr:spPr>
        <a:xfrm>
          <a:off x="571076" y="0"/>
          <a:ext cx="19263868" cy="9033934"/>
        </a:xfrm>
        <a:prstGeom prst="roundRect">
          <a:avLst>
            <a:gd name="adj" fmla="val 2111"/>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1</xdr:row>
      <xdr:rowOff>144780</xdr:rowOff>
    </xdr:from>
    <xdr:to>
      <xdr:col>29</xdr:col>
      <xdr:colOff>412750</xdr:colOff>
      <xdr:row>49</xdr:row>
      <xdr:rowOff>167640</xdr:rowOff>
    </xdr:to>
    <xdr:sp macro="" textlink="">
      <xdr:nvSpPr>
        <xdr:cNvPr id="4" name="Rectangle: Rounded Corners 3">
          <a:extLst>
            <a:ext uri="{FF2B5EF4-FFF2-40B4-BE49-F238E27FC236}">
              <a16:creationId xmlns:a16="http://schemas.microsoft.com/office/drawing/2014/main" id="{E67A9597-1116-4EFE-E55D-F3BF689DC5D9}"/>
            </a:ext>
          </a:extLst>
        </xdr:cNvPr>
        <xdr:cNvSpPr/>
      </xdr:nvSpPr>
      <xdr:spPr>
        <a:xfrm>
          <a:off x="2153920" y="324697"/>
          <a:ext cx="17626330" cy="8658860"/>
        </a:xfrm>
        <a:prstGeom prst="roundRect">
          <a:avLst>
            <a:gd name="adj" fmla="val 1898"/>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13</xdr:row>
      <xdr:rowOff>15240</xdr:rowOff>
    </xdr:from>
    <xdr:to>
      <xdr:col>6</xdr:col>
      <xdr:colOff>114300</xdr:colOff>
      <xdr:row>49</xdr:row>
      <xdr:rowOff>114300</xdr:rowOff>
    </xdr:to>
    <xdr:sp macro="" textlink="">
      <xdr:nvSpPr>
        <xdr:cNvPr id="6" name="Rectangle: Rounded Corners 5">
          <a:extLst>
            <a:ext uri="{FF2B5EF4-FFF2-40B4-BE49-F238E27FC236}">
              <a16:creationId xmlns:a16="http://schemas.microsoft.com/office/drawing/2014/main" id="{10765B49-B9EF-45E6-9D9C-2C836417C6AA}"/>
            </a:ext>
          </a:extLst>
        </xdr:cNvPr>
        <xdr:cNvSpPr/>
      </xdr:nvSpPr>
      <xdr:spPr>
        <a:xfrm rot="16200000">
          <a:off x="-354330" y="4949190"/>
          <a:ext cx="6682740" cy="1569720"/>
        </a:xfrm>
        <a:prstGeom prst="roundRect">
          <a:avLst>
            <a:gd name="adj" fmla="val 871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365760</xdr:colOff>
      <xdr:row>2</xdr:row>
      <xdr:rowOff>3810</xdr:rowOff>
    </xdr:from>
    <xdr:to>
      <xdr:col>29</xdr:col>
      <xdr:colOff>274319</xdr:colOff>
      <xdr:row>12</xdr:row>
      <xdr:rowOff>152400</xdr:rowOff>
    </xdr:to>
    <xdr:sp macro="" textlink="">
      <xdr:nvSpPr>
        <xdr:cNvPr id="7" name="Rectangle: Rounded Corners 6">
          <a:extLst>
            <a:ext uri="{FF2B5EF4-FFF2-40B4-BE49-F238E27FC236}">
              <a16:creationId xmlns:a16="http://schemas.microsoft.com/office/drawing/2014/main" id="{00B5E04B-8589-4147-98A1-A21229317E9C}"/>
            </a:ext>
          </a:extLst>
        </xdr:cNvPr>
        <xdr:cNvSpPr/>
      </xdr:nvSpPr>
      <xdr:spPr>
        <a:xfrm>
          <a:off x="2194560" y="369570"/>
          <a:ext cx="15758159" cy="1977390"/>
        </a:xfrm>
        <a:prstGeom prst="roundRect">
          <a:avLst>
            <a:gd name="adj" fmla="val 871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335280</xdr:colOff>
      <xdr:row>0</xdr:row>
      <xdr:rowOff>114300</xdr:rowOff>
    </xdr:from>
    <xdr:to>
      <xdr:col>9</xdr:col>
      <xdr:colOff>487680</xdr:colOff>
      <xdr:row>1</xdr:row>
      <xdr:rowOff>160020</xdr:rowOff>
    </xdr:to>
    <xdr:sp macro="" textlink="">
      <xdr:nvSpPr>
        <xdr:cNvPr id="5" name="Rectangle: Rounded Corners 4">
          <a:extLst>
            <a:ext uri="{FF2B5EF4-FFF2-40B4-BE49-F238E27FC236}">
              <a16:creationId xmlns:a16="http://schemas.microsoft.com/office/drawing/2014/main" id="{959D2093-74B6-0284-D4AF-8B099C412DB5}"/>
            </a:ext>
          </a:extLst>
        </xdr:cNvPr>
        <xdr:cNvSpPr/>
      </xdr:nvSpPr>
      <xdr:spPr>
        <a:xfrm>
          <a:off x="5212080" y="114300"/>
          <a:ext cx="76200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301752</xdr:colOff>
      <xdr:row>0</xdr:row>
      <xdr:rowOff>123445</xdr:rowOff>
    </xdr:from>
    <xdr:to>
      <xdr:col>13</xdr:col>
      <xdr:colOff>135993</xdr:colOff>
      <xdr:row>1</xdr:row>
      <xdr:rowOff>138685</xdr:rowOff>
    </xdr:to>
    <xdr:pic>
      <xdr:nvPicPr>
        <xdr:cNvPr id="8" name="Graphic 7" descr="Presentation with bar chart with solid fill">
          <a:extLst>
            <a:ext uri="{FF2B5EF4-FFF2-40B4-BE49-F238E27FC236}">
              <a16:creationId xmlns:a16="http://schemas.microsoft.com/office/drawing/2014/main" id="{BA50548C-38C6-4A22-AFCC-D8E5B2380B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16952" y="123445"/>
          <a:ext cx="443841" cy="198120"/>
        </a:xfrm>
        <a:prstGeom prst="rect">
          <a:avLst/>
        </a:prstGeom>
      </xdr:spPr>
    </xdr:pic>
    <xdr:clientData/>
  </xdr:twoCellAnchor>
  <xdr:twoCellAnchor>
    <xdr:from>
      <xdr:col>13</xdr:col>
      <xdr:colOff>8528</xdr:colOff>
      <xdr:row>0</xdr:row>
      <xdr:rowOff>38523</xdr:rowOff>
    </xdr:from>
    <xdr:to>
      <xdr:col>18</xdr:col>
      <xdr:colOff>402166</xdr:colOff>
      <xdr:row>2</xdr:row>
      <xdr:rowOff>31750</xdr:rowOff>
    </xdr:to>
    <xdr:sp macro="" textlink="">
      <xdr:nvSpPr>
        <xdr:cNvPr id="11" name="TextBox 10">
          <a:extLst>
            <a:ext uri="{FF2B5EF4-FFF2-40B4-BE49-F238E27FC236}">
              <a16:creationId xmlns:a16="http://schemas.microsoft.com/office/drawing/2014/main" id="{EEE830FA-CA3F-A29C-B13C-E0B96BC99A82}"/>
            </a:ext>
          </a:extLst>
        </xdr:cNvPr>
        <xdr:cNvSpPr txBox="1"/>
      </xdr:nvSpPr>
      <xdr:spPr>
        <a:xfrm>
          <a:off x="9448861" y="38523"/>
          <a:ext cx="3568638" cy="35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E-Commerce Sales Dashboard</a:t>
          </a:r>
          <a:endParaRPr lang="en-IN" sz="1800">
            <a:solidFill>
              <a:schemeClr val="bg1"/>
            </a:solidFill>
            <a:effectLst/>
          </a:endParaRPr>
        </a:p>
        <a:p>
          <a:pPr algn="ctr"/>
          <a:endParaRPr lang="en-IN" sz="1200"/>
        </a:p>
      </xdr:txBody>
    </xdr:sp>
    <xdr:clientData/>
  </xdr:twoCellAnchor>
  <xdr:twoCellAnchor editAs="oneCell">
    <xdr:from>
      <xdr:col>23</xdr:col>
      <xdr:colOff>491678</xdr:colOff>
      <xdr:row>0</xdr:row>
      <xdr:rowOff>96937</xdr:rowOff>
    </xdr:from>
    <xdr:to>
      <xdr:col>24</xdr:col>
      <xdr:colOff>295438</xdr:colOff>
      <xdr:row>1</xdr:row>
      <xdr:rowOff>138518</xdr:rowOff>
    </xdr:to>
    <xdr:pic macro="[0]!refresh">
      <xdr:nvPicPr>
        <xdr:cNvPr id="17" name="Graphic 16" descr="Arrow circle with solid fill">
          <a:extLst>
            <a:ext uri="{FF2B5EF4-FFF2-40B4-BE49-F238E27FC236}">
              <a16:creationId xmlns:a16="http://schemas.microsoft.com/office/drawing/2014/main" id="{969CFE2A-B5F4-454C-9FC2-DCF9346D06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569940" y="96937"/>
          <a:ext cx="415859" cy="222712"/>
        </a:xfrm>
        <a:prstGeom prst="rect">
          <a:avLst/>
        </a:prstGeom>
      </xdr:spPr>
    </xdr:pic>
    <xdr:clientData/>
  </xdr:twoCellAnchor>
  <xdr:twoCellAnchor>
    <xdr:from>
      <xdr:col>14</xdr:col>
      <xdr:colOff>548640</xdr:colOff>
      <xdr:row>0</xdr:row>
      <xdr:rowOff>137160</xdr:rowOff>
    </xdr:from>
    <xdr:to>
      <xdr:col>15</xdr:col>
      <xdr:colOff>586740</xdr:colOff>
      <xdr:row>1</xdr:row>
      <xdr:rowOff>152400</xdr:rowOff>
    </xdr:to>
    <xdr:sp macro="" textlink="">
      <xdr:nvSpPr>
        <xdr:cNvPr id="18" name="TextBox 17">
          <a:extLst>
            <a:ext uri="{FF2B5EF4-FFF2-40B4-BE49-F238E27FC236}">
              <a16:creationId xmlns:a16="http://schemas.microsoft.com/office/drawing/2014/main" id="{52D742FB-C7A7-94BC-B633-E224199C800D}"/>
            </a:ext>
          </a:extLst>
        </xdr:cNvPr>
        <xdr:cNvSpPr txBox="1"/>
      </xdr:nvSpPr>
      <xdr:spPr>
        <a:xfrm>
          <a:off x="9083040" y="137160"/>
          <a:ext cx="6477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25</xdr:col>
      <xdr:colOff>74950</xdr:colOff>
      <xdr:row>0</xdr:row>
      <xdr:rowOff>42333</xdr:rowOff>
    </xdr:from>
    <xdr:to>
      <xdr:col>25</xdr:col>
      <xdr:colOff>410469</xdr:colOff>
      <xdr:row>1</xdr:row>
      <xdr:rowOff>152401</xdr:rowOff>
    </xdr:to>
    <xdr:pic>
      <xdr:nvPicPr>
        <xdr:cNvPr id="19" name="Graphic 18" descr="Data last updated on:">
          <a:extLst>
            <a:ext uri="{FF2B5EF4-FFF2-40B4-BE49-F238E27FC236}">
              <a16:creationId xmlns:a16="http://schemas.microsoft.com/office/drawing/2014/main" id="{C3CC326D-AF8C-4CA3-A896-5BF26179308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87117" y="42333"/>
          <a:ext cx="335519" cy="289985"/>
        </a:xfrm>
        <a:prstGeom prst="rect">
          <a:avLst/>
        </a:prstGeom>
      </xdr:spPr>
    </xdr:pic>
    <xdr:clientData/>
  </xdr:twoCellAnchor>
  <xdr:twoCellAnchor>
    <xdr:from>
      <xdr:col>14</xdr:col>
      <xdr:colOff>0</xdr:colOff>
      <xdr:row>0</xdr:row>
      <xdr:rowOff>114300</xdr:rowOff>
    </xdr:from>
    <xdr:to>
      <xdr:col>14</xdr:col>
      <xdr:colOff>297180</xdr:colOff>
      <xdr:row>1</xdr:row>
      <xdr:rowOff>167640</xdr:rowOff>
    </xdr:to>
    <xdr:sp macro="" textlink="">
      <xdr:nvSpPr>
        <xdr:cNvPr id="20" name="TextBox 19">
          <a:extLst>
            <a:ext uri="{FF2B5EF4-FFF2-40B4-BE49-F238E27FC236}">
              <a16:creationId xmlns:a16="http://schemas.microsoft.com/office/drawing/2014/main" id="{21E24667-247C-3144-6DCB-F89674A029E2}"/>
            </a:ext>
          </a:extLst>
        </xdr:cNvPr>
        <xdr:cNvSpPr txBox="1"/>
      </xdr:nvSpPr>
      <xdr:spPr>
        <a:xfrm>
          <a:off x="8534400" y="114300"/>
          <a:ext cx="2971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24</xdr:col>
      <xdr:colOff>299803</xdr:colOff>
      <xdr:row>0</xdr:row>
      <xdr:rowOff>118673</xdr:rowOff>
    </xdr:from>
    <xdr:to>
      <xdr:col>25</xdr:col>
      <xdr:colOff>68704</xdr:colOff>
      <xdr:row>1</xdr:row>
      <xdr:rowOff>134414</xdr:rowOff>
    </xdr:to>
    <xdr:pic>
      <xdr:nvPicPr>
        <xdr:cNvPr id="21" name="Graphic 20" descr="Monitor with solid fill">
          <a:extLst>
            <a:ext uri="{FF2B5EF4-FFF2-40B4-BE49-F238E27FC236}">
              <a16:creationId xmlns:a16="http://schemas.microsoft.com/office/drawing/2014/main" id="{DEFAB551-3649-4E15-9896-5B6F30AC5F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598136" y="118673"/>
          <a:ext cx="382735" cy="195658"/>
        </a:xfrm>
        <a:prstGeom prst="rect">
          <a:avLst/>
        </a:prstGeom>
      </xdr:spPr>
    </xdr:pic>
    <xdr:clientData/>
  </xdr:twoCellAnchor>
  <xdr:twoCellAnchor>
    <xdr:from>
      <xdr:col>25</xdr:col>
      <xdr:colOff>332032</xdr:colOff>
      <xdr:row>0</xdr:row>
      <xdr:rowOff>52918</xdr:rowOff>
    </xdr:from>
    <xdr:to>
      <xdr:col>28</xdr:col>
      <xdr:colOff>179915</xdr:colOff>
      <xdr:row>1</xdr:row>
      <xdr:rowOff>124669</xdr:rowOff>
    </xdr:to>
    <xdr:sp macro="" textlink="">
      <xdr:nvSpPr>
        <xdr:cNvPr id="22" name="TextBox 21">
          <a:extLst>
            <a:ext uri="{FF2B5EF4-FFF2-40B4-BE49-F238E27FC236}">
              <a16:creationId xmlns:a16="http://schemas.microsoft.com/office/drawing/2014/main" id="{DF08B813-1585-1CAC-5B89-54CD7A07BD23}"/>
            </a:ext>
          </a:extLst>
        </xdr:cNvPr>
        <xdr:cNvSpPr txBox="1"/>
      </xdr:nvSpPr>
      <xdr:spPr>
        <a:xfrm>
          <a:off x="17244199" y="52918"/>
          <a:ext cx="1689383" cy="25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Data</a:t>
          </a:r>
          <a:r>
            <a:rPr lang="en-IN" sz="1200" b="1" baseline="0">
              <a:solidFill>
                <a:schemeClr val="bg1"/>
              </a:solidFill>
              <a:effectLst/>
              <a:latin typeface="+mn-lt"/>
              <a:ea typeface="+mn-ea"/>
              <a:cs typeface="+mn-cs"/>
            </a:rPr>
            <a:t> last updated on :</a:t>
          </a:r>
          <a:endParaRPr lang="en-IN" sz="1200" b="1">
            <a:solidFill>
              <a:schemeClr val="bg1"/>
            </a:solidFill>
            <a:effectLst/>
          </a:endParaRPr>
        </a:p>
        <a:p>
          <a:endParaRPr lang="en-IN" sz="1100"/>
        </a:p>
      </xdr:txBody>
    </xdr:sp>
    <xdr:clientData/>
  </xdr:twoCellAnchor>
  <xdr:twoCellAnchor>
    <xdr:from>
      <xdr:col>27</xdr:col>
      <xdr:colOff>527667</xdr:colOff>
      <xdr:row>0</xdr:row>
      <xdr:rowOff>0</xdr:rowOff>
    </xdr:from>
    <xdr:to>
      <xdr:col>29</xdr:col>
      <xdr:colOff>512428</xdr:colOff>
      <xdr:row>2</xdr:row>
      <xdr:rowOff>169334</xdr:rowOff>
    </xdr:to>
    <xdr:sp macro="" textlink="">
      <xdr:nvSpPr>
        <xdr:cNvPr id="23" name="TextBox 22">
          <a:extLst>
            <a:ext uri="{FF2B5EF4-FFF2-40B4-BE49-F238E27FC236}">
              <a16:creationId xmlns:a16="http://schemas.microsoft.com/office/drawing/2014/main" id="{6437C6A3-1852-FC41-A402-803AF97BC97A}"/>
            </a:ext>
          </a:extLst>
        </xdr:cNvPr>
        <xdr:cNvSpPr txBox="1"/>
      </xdr:nvSpPr>
      <xdr:spPr>
        <a:xfrm>
          <a:off x="18667500" y="0"/>
          <a:ext cx="1212428"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bg1"/>
              </a:solidFill>
              <a:effectLst/>
              <a:latin typeface="+mn-lt"/>
              <a:ea typeface="+mn-ea"/>
              <a:cs typeface="+mn-cs"/>
            </a:rPr>
            <a:t>31-12-2025</a:t>
          </a:r>
          <a:r>
            <a:rPr lang="en-IN" sz="1200" b="1">
              <a:solidFill>
                <a:schemeClr val="bg1"/>
              </a:solidFill>
              <a:effectLst/>
              <a:latin typeface="+mn-lt"/>
              <a:ea typeface="+mn-ea"/>
              <a:cs typeface="+mn-cs"/>
            </a:rPr>
            <a:t> </a:t>
          </a:r>
          <a:endParaRPr lang="en-IN" sz="1200" b="1">
            <a:solidFill>
              <a:schemeClr val="bg1"/>
            </a:solidFill>
            <a:effectLst/>
          </a:endParaRPr>
        </a:p>
        <a:p>
          <a:pPr algn="ctr"/>
          <a:endParaRPr lang="en-IN" sz="1100"/>
        </a:p>
      </xdr:txBody>
    </xdr:sp>
    <xdr:clientData/>
  </xdr:twoCellAnchor>
  <xdr:twoCellAnchor>
    <xdr:from>
      <xdr:col>6</xdr:col>
      <xdr:colOff>175260</xdr:colOff>
      <xdr:row>14</xdr:row>
      <xdr:rowOff>114300</xdr:rowOff>
    </xdr:from>
    <xdr:to>
      <xdr:col>9</xdr:col>
      <xdr:colOff>148409</xdr:colOff>
      <xdr:row>18</xdr:row>
      <xdr:rowOff>143462</xdr:rowOff>
    </xdr:to>
    <xdr:sp macro="" textlink="">
      <xdr:nvSpPr>
        <xdr:cNvPr id="24" name="Rectangle: Rounded Corners 23">
          <a:extLst>
            <a:ext uri="{FF2B5EF4-FFF2-40B4-BE49-F238E27FC236}">
              <a16:creationId xmlns:a16="http://schemas.microsoft.com/office/drawing/2014/main" id="{B2A2FA0B-E080-40C5-86D0-84C6F1A59AFC}"/>
            </a:ext>
          </a:extLst>
        </xdr:cNvPr>
        <xdr:cNvSpPr/>
      </xdr:nvSpPr>
      <xdr:spPr>
        <a:xfrm>
          <a:off x="3832860" y="2674620"/>
          <a:ext cx="1801949" cy="760682"/>
        </a:xfrm>
        <a:prstGeom prst="roundRect">
          <a:avLst>
            <a:gd name="adj" fmla="val 13725"/>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167640</xdr:colOff>
      <xdr:row>21</xdr:row>
      <xdr:rowOff>22860</xdr:rowOff>
    </xdr:from>
    <xdr:to>
      <xdr:col>9</xdr:col>
      <xdr:colOff>140789</xdr:colOff>
      <xdr:row>25</xdr:row>
      <xdr:rowOff>52022</xdr:rowOff>
    </xdr:to>
    <xdr:sp macro="" textlink="">
      <xdr:nvSpPr>
        <xdr:cNvPr id="25" name="Rectangle: Rounded Corners 24">
          <a:extLst>
            <a:ext uri="{FF2B5EF4-FFF2-40B4-BE49-F238E27FC236}">
              <a16:creationId xmlns:a16="http://schemas.microsoft.com/office/drawing/2014/main" id="{1D50B3B2-EC26-462E-A6D8-35D1F93CD38C}"/>
            </a:ext>
          </a:extLst>
        </xdr:cNvPr>
        <xdr:cNvSpPr/>
      </xdr:nvSpPr>
      <xdr:spPr>
        <a:xfrm>
          <a:off x="3825240" y="3863340"/>
          <a:ext cx="1801949" cy="760682"/>
        </a:xfrm>
        <a:prstGeom prst="roundRect">
          <a:avLst>
            <a:gd name="adj" fmla="val 13725"/>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137160</xdr:colOff>
      <xdr:row>27</xdr:row>
      <xdr:rowOff>15240</xdr:rowOff>
    </xdr:from>
    <xdr:to>
      <xdr:col>9</xdr:col>
      <xdr:colOff>110309</xdr:colOff>
      <xdr:row>31</xdr:row>
      <xdr:rowOff>44402</xdr:rowOff>
    </xdr:to>
    <xdr:sp macro="" textlink="">
      <xdr:nvSpPr>
        <xdr:cNvPr id="26" name="Rectangle: Rounded Corners 25">
          <a:extLst>
            <a:ext uri="{FF2B5EF4-FFF2-40B4-BE49-F238E27FC236}">
              <a16:creationId xmlns:a16="http://schemas.microsoft.com/office/drawing/2014/main" id="{1AD08C4C-05E7-4429-A1E1-975D76BE4661}"/>
            </a:ext>
          </a:extLst>
        </xdr:cNvPr>
        <xdr:cNvSpPr/>
      </xdr:nvSpPr>
      <xdr:spPr>
        <a:xfrm>
          <a:off x="3794760" y="4953000"/>
          <a:ext cx="1801949" cy="760682"/>
        </a:xfrm>
        <a:prstGeom prst="roundRect">
          <a:avLst>
            <a:gd name="adj" fmla="val 13725"/>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152400</xdr:colOff>
      <xdr:row>33</xdr:row>
      <xdr:rowOff>83820</xdr:rowOff>
    </xdr:from>
    <xdr:to>
      <xdr:col>9</xdr:col>
      <xdr:colOff>125549</xdr:colOff>
      <xdr:row>37</xdr:row>
      <xdr:rowOff>112982</xdr:rowOff>
    </xdr:to>
    <xdr:sp macro="" textlink="">
      <xdr:nvSpPr>
        <xdr:cNvPr id="27" name="Rectangle: Rounded Corners 26">
          <a:extLst>
            <a:ext uri="{FF2B5EF4-FFF2-40B4-BE49-F238E27FC236}">
              <a16:creationId xmlns:a16="http://schemas.microsoft.com/office/drawing/2014/main" id="{11BC75A7-65A8-4036-8E44-198B6512D5C0}"/>
            </a:ext>
          </a:extLst>
        </xdr:cNvPr>
        <xdr:cNvSpPr/>
      </xdr:nvSpPr>
      <xdr:spPr>
        <a:xfrm>
          <a:off x="3810000" y="6118860"/>
          <a:ext cx="1801949" cy="760682"/>
        </a:xfrm>
        <a:prstGeom prst="roundRect">
          <a:avLst>
            <a:gd name="adj" fmla="val 13725"/>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236220</xdr:colOff>
      <xdr:row>15</xdr:row>
      <xdr:rowOff>129540</xdr:rowOff>
    </xdr:from>
    <xdr:to>
      <xdr:col>7</xdr:col>
      <xdr:colOff>15240</xdr:colOff>
      <xdr:row>17</xdr:row>
      <xdr:rowOff>76200</xdr:rowOff>
    </xdr:to>
    <xdr:sp macro="" textlink="">
      <xdr:nvSpPr>
        <xdr:cNvPr id="28" name="TextBox 27">
          <a:extLst>
            <a:ext uri="{FF2B5EF4-FFF2-40B4-BE49-F238E27FC236}">
              <a16:creationId xmlns:a16="http://schemas.microsoft.com/office/drawing/2014/main" id="{B7546994-E765-2FDE-68AA-D8476421046A}"/>
            </a:ext>
          </a:extLst>
        </xdr:cNvPr>
        <xdr:cNvSpPr txBox="1"/>
      </xdr:nvSpPr>
      <xdr:spPr>
        <a:xfrm>
          <a:off x="3893820" y="2872740"/>
          <a:ext cx="38862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312420</xdr:colOff>
      <xdr:row>15</xdr:row>
      <xdr:rowOff>152400</xdr:rowOff>
    </xdr:from>
    <xdr:to>
      <xdr:col>7</xdr:col>
      <xdr:colOff>121920</xdr:colOff>
      <xdr:row>17</xdr:row>
      <xdr:rowOff>106021</xdr:rowOff>
    </xdr:to>
    <xdr:pic>
      <xdr:nvPicPr>
        <xdr:cNvPr id="29" name="Graphic 28" descr="Shopping cart with solid fill">
          <a:extLst>
            <a:ext uri="{FF2B5EF4-FFF2-40B4-BE49-F238E27FC236}">
              <a16:creationId xmlns:a16="http://schemas.microsoft.com/office/drawing/2014/main" id="{76E1BEDC-1A52-4F0C-842F-847C40DCAF4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70020" y="2895600"/>
          <a:ext cx="419100" cy="319381"/>
        </a:xfrm>
        <a:prstGeom prst="rect">
          <a:avLst/>
        </a:prstGeom>
      </xdr:spPr>
    </xdr:pic>
    <xdr:clientData/>
  </xdr:twoCellAnchor>
  <xdr:twoCellAnchor>
    <xdr:from>
      <xdr:col>7</xdr:col>
      <xdr:colOff>325120</xdr:colOff>
      <xdr:row>14</xdr:row>
      <xdr:rowOff>157904</xdr:rowOff>
    </xdr:from>
    <xdr:to>
      <xdr:col>8</xdr:col>
      <xdr:colOff>607060</xdr:colOff>
      <xdr:row>16</xdr:row>
      <xdr:rowOff>46567</xdr:rowOff>
    </xdr:to>
    <xdr:sp macro="" textlink="">
      <xdr:nvSpPr>
        <xdr:cNvPr id="30" name="TextBox 29">
          <a:extLst>
            <a:ext uri="{FF2B5EF4-FFF2-40B4-BE49-F238E27FC236}">
              <a16:creationId xmlns:a16="http://schemas.microsoft.com/office/drawing/2014/main" id="{014D9D3B-4D0B-8548-1D55-FB51AC9B6CE5}"/>
            </a:ext>
          </a:extLst>
        </xdr:cNvPr>
        <xdr:cNvSpPr txBox="1"/>
      </xdr:nvSpPr>
      <xdr:spPr>
        <a:xfrm>
          <a:off x="4621953" y="2676737"/>
          <a:ext cx="1403774" cy="248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Total</a:t>
          </a:r>
          <a:r>
            <a:rPr lang="en-IN" sz="1600">
              <a:solidFill>
                <a:schemeClr val="dk1"/>
              </a:solidFill>
              <a:effectLst/>
              <a:latin typeface="+mn-lt"/>
              <a:ea typeface="+mn-ea"/>
              <a:cs typeface="+mn-cs"/>
            </a:rPr>
            <a:t> </a:t>
          </a:r>
          <a:r>
            <a:rPr lang="en-IN" sz="1600" b="1">
              <a:solidFill>
                <a:schemeClr val="dk1"/>
              </a:solidFill>
              <a:effectLst/>
              <a:latin typeface="+mn-lt"/>
              <a:ea typeface="+mn-ea"/>
              <a:cs typeface="+mn-cs"/>
            </a:rPr>
            <a:t>Sales</a:t>
          </a:r>
          <a:endParaRPr lang="en-IN" sz="1600">
            <a:effectLst/>
          </a:endParaRPr>
        </a:p>
        <a:p>
          <a:endParaRPr lang="en-IN" sz="1100"/>
        </a:p>
      </xdr:txBody>
    </xdr:sp>
    <xdr:clientData/>
  </xdr:twoCellAnchor>
  <xdr:twoCellAnchor>
    <xdr:from>
      <xdr:col>6</xdr:col>
      <xdr:colOff>274320</xdr:colOff>
      <xdr:row>20</xdr:row>
      <xdr:rowOff>167640</xdr:rowOff>
    </xdr:from>
    <xdr:to>
      <xdr:col>7</xdr:col>
      <xdr:colOff>220980</xdr:colOff>
      <xdr:row>22</xdr:row>
      <xdr:rowOff>45720</xdr:rowOff>
    </xdr:to>
    <xdr:sp macro="" textlink="">
      <xdr:nvSpPr>
        <xdr:cNvPr id="31" name="TextBox 30">
          <a:extLst>
            <a:ext uri="{FF2B5EF4-FFF2-40B4-BE49-F238E27FC236}">
              <a16:creationId xmlns:a16="http://schemas.microsoft.com/office/drawing/2014/main" id="{BB2B14DE-9797-E2F2-252E-DA24B39BB533}"/>
            </a:ext>
          </a:extLst>
        </xdr:cNvPr>
        <xdr:cNvSpPr txBox="1"/>
      </xdr:nvSpPr>
      <xdr:spPr>
        <a:xfrm>
          <a:off x="3931920" y="3825240"/>
          <a:ext cx="5562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190500</xdr:colOff>
      <xdr:row>22</xdr:row>
      <xdr:rowOff>0</xdr:rowOff>
    </xdr:from>
    <xdr:to>
      <xdr:col>7</xdr:col>
      <xdr:colOff>66766</xdr:colOff>
      <xdr:row>24</xdr:row>
      <xdr:rowOff>5510</xdr:rowOff>
    </xdr:to>
    <xdr:pic>
      <xdr:nvPicPr>
        <xdr:cNvPr id="32" name="Graphic 31" descr="Bar graph with upward trend with solid fill">
          <a:extLst>
            <a:ext uri="{FF2B5EF4-FFF2-40B4-BE49-F238E27FC236}">
              <a16:creationId xmlns:a16="http://schemas.microsoft.com/office/drawing/2014/main" id="{75AFB078-AEB4-4118-AF0B-836707D9416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48100" y="4023360"/>
          <a:ext cx="485866" cy="371270"/>
        </a:xfrm>
        <a:prstGeom prst="rect">
          <a:avLst/>
        </a:prstGeom>
      </xdr:spPr>
    </xdr:pic>
    <xdr:clientData/>
  </xdr:twoCellAnchor>
  <xdr:twoCellAnchor>
    <xdr:from>
      <xdr:col>7</xdr:col>
      <xdr:colOff>334010</xdr:colOff>
      <xdr:row>21</xdr:row>
      <xdr:rowOff>52070</xdr:rowOff>
    </xdr:from>
    <xdr:to>
      <xdr:col>8</xdr:col>
      <xdr:colOff>600710</xdr:colOff>
      <xdr:row>22</xdr:row>
      <xdr:rowOff>113030</xdr:rowOff>
    </xdr:to>
    <xdr:sp macro="" textlink="">
      <xdr:nvSpPr>
        <xdr:cNvPr id="33" name="TextBox 32">
          <a:extLst>
            <a:ext uri="{FF2B5EF4-FFF2-40B4-BE49-F238E27FC236}">
              <a16:creationId xmlns:a16="http://schemas.microsoft.com/office/drawing/2014/main" id="{09452191-E854-A6E6-D3C8-CBA991E12F9D}"/>
            </a:ext>
          </a:extLst>
        </xdr:cNvPr>
        <xdr:cNvSpPr txBox="1"/>
      </xdr:nvSpPr>
      <xdr:spPr>
        <a:xfrm>
          <a:off x="4630843" y="3830320"/>
          <a:ext cx="1388534" cy="240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Total Profit</a:t>
          </a:r>
          <a:endParaRPr lang="en-IN" sz="1600" b="1">
            <a:effectLst/>
          </a:endParaRPr>
        </a:p>
        <a:p>
          <a:endParaRPr lang="en-IN" sz="1100"/>
        </a:p>
      </xdr:txBody>
    </xdr:sp>
    <xdr:clientData/>
  </xdr:twoCellAnchor>
  <xdr:twoCellAnchor>
    <xdr:from>
      <xdr:col>6</xdr:col>
      <xdr:colOff>304800</xdr:colOff>
      <xdr:row>25</xdr:row>
      <xdr:rowOff>152400</xdr:rowOff>
    </xdr:from>
    <xdr:to>
      <xdr:col>7</xdr:col>
      <xdr:colOff>312420</xdr:colOff>
      <xdr:row>27</xdr:row>
      <xdr:rowOff>7620</xdr:rowOff>
    </xdr:to>
    <xdr:sp macro="" textlink="">
      <xdr:nvSpPr>
        <xdr:cNvPr id="34" name="TextBox 33">
          <a:extLst>
            <a:ext uri="{FF2B5EF4-FFF2-40B4-BE49-F238E27FC236}">
              <a16:creationId xmlns:a16="http://schemas.microsoft.com/office/drawing/2014/main" id="{BEB9B5BF-8A59-F21B-9F09-444B4E6AA24F}"/>
            </a:ext>
          </a:extLst>
        </xdr:cNvPr>
        <xdr:cNvSpPr txBox="1"/>
      </xdr:nvSpPr>
      <xdr:spPr>
        <a:xfrm>
          <a:off x="3962400" y="4724400"/>
          <a:ext cx="6172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160020</xdr:colOff>
      <xdr:row>28</xdr:row>
      <xdr:rowOff>38100</xdr:rowOff>
    </xdr:from>
    <xdr:to>
      <xdr:col>7</xdr:col>
      <xdr:colOff>0</xdr:colOff>
      <xdr:row>29</xdr:row>
      <xdr:rowOff>174602</xdr:rowOff>
    </xdr:to>
    <xdr:pic>
      <xdr:nvPicPr>
        <xdr:cNvPr id="35" name="Graphic 34" descr="Coins with solid fill">
          <a:extLst>
            <a:ext uri="{FF2B5EF4-FFF2-40B4-BE49-F238E27FC236}">
              <a16:creationId xmlns:a16="http://schemas.microsoft.com/office/drawing/2014/main" id="{EE82798C-8533-4D34-9972-F24F6C3A3CC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17620" y="5158740"/>
          <a:ext cx="449580" cy="319382"/>
        </a:xfrm>
        <a:prstGeom prst="rect">
          <a:avLst/>
        </a:prstGeom>
      </xdr:spPr>
    </xdr:pic>
    <xdr:clientData/>
  </xdr:twoCellAnchor>
  <xdr:twoCellAnchor>
    <xdr:from>
      <xdr:col>7</xdr:col>
      <xdr:colOff>242147</xdr:colOff>
      <xdr:row>27</xdr:row>
      <xdr:rowOff>15663</xdr:rowOff>
    </xdr:from>
    <xdr:to>
      <xdr:col>8</xdr:col>
      <xdr:colOff>691727</xdr:colOff>
      <xdr:row>28</xdr:row>
      <xdr:rowOff>99483</xdr:rowOff>
    </xdr:to>
    <xdr:sp macro="" textlink="">
      <xdr:nvSpPr>
        <xdr:cNvPr id="36" name="TextBox 35">
          <a:extLst>
            <a:ext uri="{FF2B5EF4-FFF2-40B4-BE49-F238E27FC236}">
              <a16:creationId xmlns:a16="http://schemas.microsoft.com/office/drawing/2014/main" id="{E7EE3EDB-1F6B-10FB-CF37-5901EA439B81}"/>
            </a:ext>
          </a:extLst>
        </xdr:cNvPr>
        <xdr:cNvSpPr txBox="1"/>
      </xdr:nvSpPr>
      <xdr:spPr>
        <a:xfrm>
          <a:off x="4538980" y="4873413"/>
          <a:ext cx="1571414" cy="26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Total Quantity</a:t>
          </a:r>
          <a:endParaRPr lang="en-IN" sz="1600" b="1">
            <a:effectLst/>
          </a:endParaRPr>
        </a:p>
        <a:p>
          <a:endParaRPr lang="en-IN" sz="1100"/>
        </a:p>
      </xdr:txBody>
    </xdr:sp>
    <xdr:clientData/>
  </xdr:twoCellAnchor>
  <xdr:twoCellAnchor>
    <xdr:from>
      <xdr:col>6</xdr:col>
      <xdr:colOff>304800</xdr:colOff>
      <xdr:row>30</xdr:row>
      <xdr:rowOff>83820</xdr:rowOff>
    </xdr:from>
    <xdr:to>
      <xdr:col>7</xdr:col>
      <xdr:colOff>129540</xdr:colOff>
      <xdr:row>32</xdr:row>
      <xdr:rowOff>68580</xdr:rowOff>
    </xdr:to>
    <xdr:sp macro="" textlink="">
      <xdr:nvSpPr>
        <xdr:cNvPr id="37" name="TextBox 36">
          <a:extLst>
            <a:ext uri="{FF2B5EF4-FFF2-40B4-BE49-F238E27FC236}">
              <a16:creationId xmlns:a16="http://schemas.microsoft.com/office/drawing/2014/main" id="{938AB6F4-5530-6757-392A-FE0D07E267C8}"/>
            </a:ext>
          </a:extLst>
        </xdr:cNvPr>
        <xdr:cNvSpPr txBox="1"/>
      </xdr:nvSpPr>
      <xdr:spPr>
        <a:xfrm>
          <a:off x="3962400" y="5570220"/>
          <a:ext cx="4343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220980</xdr:colOff>
      <xdr:row>34</xdr:row>
      <xdr:rowOff>38100</xdr:rowOff>
    </xdr:from>
    <xdr:to>
      <xdr:col>6</xdr:col>
      <xdr:colOff>537095</xdr:colOff>
      <xdr:row>36</xdr:row>
      <xdr:rowOff>14581</xdr:rowOff>
    </xdr:to>
    <xdr:pic>
      <xdr:nvPicPr>
        <xdr:cNvPr id="38" name="Graphic 37" descr="Money with solid fill">
          <a:extLst>
            <a:ext uri="{FF2B5EF4-FFF2-40B4-BE49-F238E27FC236}">
              <a16:creationId xmlns:a16="http://schemas.microsoft.com/office/drawing/2014/main" id="{5BC22B29-0E3E-4953-8738-ABFC4AB3480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878580" y="6256020"/>
          <a:ext cx="316115" cy="342241"/>
        </a:xfrm>
        <a:prstGeom prst="rect">
          <a:avLst/>
        </a:prstGeom>
      </xdr:spPr>
    </xdr:pic>
    <xdr:clientData/>
  </xdr:twoCellAnchor>
  <xdr:twoCellAnchor>
    <xdr:from>
      <xdr:col>7</xdr:col>
      <xdr:colOff>127847</xdr:colOff>
      <xdr:row>33</xdr:row>
      <xdr:rowOff>109643</xdr:rowOff>
    </xdr:from>
    <xdr:to>
      <xdr:col>9</xdr:col>
      <xdr:colOff>406400</xdr:colOff>
      <xdr:row>35</xdr:row>
      <xdr:rowOff>10583</xdr:rowOff>
    </xdr:to>
    <xdr:sp macro="" textlink="">
      <xdr:nvSpPr>
        <xdr:cNvPr id="39" name="TextBox 38">
          <a:extLst>
            <a:ext uri="{FF2B5EF4-FFF2-40B4-BE49-F238E27FC236}">
              <a16:creationId xmlns:a16="http://schemas.microsoft.com/office/drawing/2014/main" id="{72305F1E-36CB-02BC-3851-467CD65C60C0}"/>
            </a:ext>
          </a:extLst>
        </xdr:cNvPr>
        <xdr:cNvSpPr txBox="1"/>
      </xdr:nvSpPr>
      <xdr:spPr>
        <a:xfrm>
          <a:off x="4424680" y="6046893"/>
          <a:ext cx="2522220" cy="26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Total Average</a:t>
          </a:r>
          <a:r>
            <a:rPr lang="en-IN" sz="1600" b="1" baseline="0">
              <a:solidFill>
                <a:schemeClr val="dk1"/>
              </a:solidFill>
              <a:effectLst/>
              <a:latin typeface="+mn-lt"/>
              <a:ea typeface="+mn-ea"/>
              <a:cs typeface="+mn-cs"/>
            </a:rPr>
            <a:t> Sales</a:t>
          </a:r>
          <a:endParaRPr lang="en-IN" sz="1600" b="1">
            <a:effectLst/>
          </a:endParaRPr>
        </a:p>
        <a:p>
          <a:endParaRPr lang="en-IN" sz="1100"/>
        </a:p>
      </xdr:txBody>
    </xdr:sp>
    <xdr:clientData/>
  </xdr:twoCellAnchor>
  <xdr:twoCellAnchor>
    <xdr:from>
      <xdr:col>9</xdr:col>
      <xdr:colOff>260604</xdr:colOff>
      <xdr:row>13</xdr:row>
      <xdr:rowOff>5334</xdr:rowOff>
    </xdr:from>
    <xdr:to>
      <xdr:col>19</xdr:col>
      <xdr:colOff>230604</xdr:colOff>
      <xdr:row>25</xdr:row>
      <xdr:rowOff>39174</xdr:rowOff>
    </xdr:to>
    <xdr:graphicFrame macro="">
      <xdr:nvGraphicFramePr>
        <xdr:cNvPr id="40" name="Chart 1">
          <a:extLst>
            <a:ext uri="{FF2B5EF4-FFF2-40B4-BE49-F238E27FC236}">
              <a16:creationId xmlns:a16="http://schemas.microsoft.com/office/drawing/2014/main" id="{E0175342-1168-1386-19E3-3A1616D1F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320746</xdr:colOff>
      <xdr:row>12</xdr:row>
      <xdr:rowOff>182495</xdr:rowOff>
    </xdr:from>
    <xdr:to>
      <xdr:col>29</xdr:col>
      <xdr:colOff>289403</xdr:colOff>
      <xdr:row>25</xdr:row>
      <xdr:rowOff>33455</xdr:rowOff>
    </xdr:to>
    <xdr:graphicFrame macro="">
      <xdr:nvGraphicFramePr>
        <xdr:cNvPr id="41" name="Chart 2">
          <a:extLst>
            <a:ext uri="{FF2B5EF4-FFF2-40B4-BE49-F238E27FC236}">
              <a16:creationId xmlns:a16="http://schemas.microsoft.com/office/drawing/2014/main" id="{98C6949E-60F2-4051-C066-A58AC35FF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260604</xdr:colOff>
      <xdr:row>25</xdr:row>
      <xdr:rowOff>80010</xdr:rowOff>
    </xdr:from>
    <xdr:to>
      <xdr:col>19</xdr:col>
      <xdr:colOff>230604</xdr:colOff>
      <xdr:row>37</xdr:row>
      <xdr:rowOff>113850</xdr:rowOff>
    </xdr:to>
    <xdr:graphicFrame macro="">
      <xdr:nvGraphicFramePr>
        <xdr:cNvPr id="42" name="Chart 3">
          <a:extLst>
            <a:ext uri="{FF2B5EF4-FFF2-40B4-BE49-F238E27FC236}">
              <a16:creationId xmlns:a16="http://schemas.microsoft.com/office/drawing/2014/main" id="{DC708701-5479-BB49-19D8-B72656ADE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321064</xdr:colOff>
      <xdr:row>25</xdr:row>
      <xdr:rowOff>76776</xdr:rowOff>
    </xdr:from>
    <xdr:to>
      <xdr:col>29</xdr:col>
      <xdr:colOff>291064</xdr:colOff>
      <xdr:row>37</xdr:row>
      <xdr:rowOff>110616</xdr:rowOff>
    </xdr:to>
    <xdr:graphicFrame macro="">
      <xdr:nvGraphicFramePr>
        <xdr:cNvPr id="43" name="Chart 4">
          <a:extLst>
            <a:ext uri="{FF2B5EF4-FFF2-40B4-BE49-F238E27FC236}">
              <a16:creationId xmlns:a16="http://schemas.microsoft.com/office/drawing/2014/main" id="{B497E983-E2E3-63BF-96B2-16D528F76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152400</xdr:colOff>
      <xdr:row>37</xdr:row>
      <xdr:rowOff>141779</xdr:rowOff>
    </xdr:from>
    <xdr:to>
      <xdr:col>13</xdr:col>
      <xdr:colOff>565200</xdr:colOff>
      <xdr:row>49</xdr:row>
      <xdr:rowOff>143219</xdr:rowOff>
    </xdr:to>
    <xdr:graphicFrame macro="">
      <xdr:nvGraphicFramePr>
        <xdr:cNvPr id="44" name="Chart 5">
          <a:extLst>
            <a:ext uri="{FF2B5EF4-FFF2-40B4-BE49-F238E27FC236}">
              <a16:creationId xmlns:a16="http://schemas.microsoft.com/office/drawing/2014/main" id="{B0E4AC4A-462D-5707-0EC0-9BD491829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605294</xdr:colOff>
      <xdr:row>37</xdr:row>
      <xdr:rowOff>143861</xdr:rowOff>
    </xdr:from>
    <xdr:to>
      <xdr:col>21</xdr:col>
      <xdr:colOff>408494</xdr:colOff>
      <xdr:row>49</xdr:row>
      <xdr:rowOff>145301</xdr:rowOff>
    </xdr:to>
    <xdr:graphicFrame macro="">
      <xdr:nvGraphicFramePr>
        <xdr:cNvPr id="45" name="Chart 6">
          <a:extLst>
            <a:ext uri="{FF2B5EF4-FFF2-40B4-BE49-F238E27FC236}">
              <a16:creationId xmlns:a16="http://schemas.microsoft.com/office/drawing/2014/main" id="{27A9907A-E8B2-7AF1-0685-0181637C4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451103</xdr:colOff>
      <xdr:row>37</xdr:row>
      <xdr:rowOff>148666</xdr:rowOff>
    </xdr:from>
    <xdr:to>
      <xdr:col>29</xdr:col>
      <xdr:colOff>286513</xdr:colOff>
      <xdr:row>49</xdr:row>
      <xdr:rowOff>150106</xdr:rowOff>
    </xdr:to>
    <xdr:graphicFrame macro="">
      <xdr:nvGraphicFramePr>
        <xdr:cNvPr id="46" name="Chart 7">
          <a:extLst>
            <a:ext uri="{FF2B5EF4-FFF2-40B4-BE49-F238E27FC236}">
              <a16:creationId xmlns:a16="http://schemas.microsoft.com/office/drawing/2014/main" id="{3D807A0C-1C81-64D7-5A8D-4C714FA97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xdr:col>
      <xdr:colOff>434766</xdr:colOff>
      <xdr:row>13</xdr:row>
      <xdr:rowOff>117264</xdr:rowOff>
    </xdr:from>
    <xdr:to>
      <xdr:col>6</xdr:col>
      <xdr:colOff>63501</xdr:colOff>
      <xdr:row>20</xdr:row>
      <xdr:rowOff>148168</xdr:rowOff>
    </xdr:to>
    <mc:AlternateContent xmlns:mc="http://schemas.openxmlformats.org/markup-compatibility/2006" xmlns:a14="http://schemas.microsoft.com/office/drawing/2010/main">
      <mc:Choice Requires="a14">
        <xdr:graphicFrame macro="">
          <xdr:nvGraphicFramePr>
            <xdr:cNvPr id="53" name="Sales_Channel">
              <a:extLst>
                <a:ext uri="{FF2B5EF4-FFF2-40B4-BE49-F238E27FC236}">
                  <a16:creationId xmlns:a16="http://schemas.microsoft.com/office/drawing/2014/main" id="{6D02A2BA-CCD7-459C-BE3B-94A82462FB0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276266" y="2456181"/>
              <a:ext cx="1470235" cy="129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455931</xdr:colOff>
      <xdr:row>21</xdr:row>
      <xdr:rowOff>53765</xdr:rowOff>
    </xdr:from>
    <xdr:to>
      <xdr:col>6</xdr:col>
      <xdr:colOff>63500</xdr:colOff>
      <xdr:row>29</xdr:row>
      <xdr:rowOff>95251</xdr:rowOff>
    </xdr:to>
    <mc:AlternateContent xmlns:mc="http://schemas.openxmlformats.org/markup-compatibility/2006" xmlns:a14="http://schemas.microsoft.com/office/drawing/2010/main">
      <mc:Choice Requires="a14">
        <xdr:graphicFrame macro="">
          <xdr:nvGraphicFramePr>
            <xdr:cNvPr id="54" name="Payment_Method">
              <a:extLst>
                <a:ext uri="{FF2B5EF4-FFF2-40B4-BE49-F238E27FC236}">
                  <a16:creationId xmlns:a16="http://schemas.microsoft.com/office/drawing/2014/main" id="{F6ECEF5D-5C63-4686-80E9-586DAFC632E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297431" y="3832015"/>
              <a:ext cx="1449069" cy="1480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434764</xdr:colOff>
      <xdr:row>30</xdr:row>
      <xdr:rowOff>848</xdr:rowOff>
    </xdr:from>
    <xdr:to>
      <xdr:col>6</xdr:col>
      <xdr:colOff>42335</xdr:colOff>
      <xdr:row>38</xdr:row>
      <xdr:rowOff>127000</xdr:rowOff>
    </xdr:to>
    <mc:AlternateContent xmlns:mc="http://schemas.openxmlformats.org/markup-compatibility/2006" xmlns:a14="http://schemas.microsoft.com/office/drawing/2010/main">
      <mc:Choice Requires="a14">
        <xdr:graphicFrame macro="">
          <xdr:nvGraphicFramePr>
            <xdr:cNvPr id="55" name="Region">
              <a:extLst>
                <a:ext uri="{FF2B5EF4-FFF2-40B4-BE49-F238E27FC236}">
                  <a16:creationId xmlns:a16="http://schemas.microsoft.com/office/drawing/2014/main" id="{69DB20FD-837E-4042-B7A8-6F75699713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76264" y="5398348"/>
              <a:ext cx="1449071" cy="156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391584</xdr:colOff>
      <xdr:row>16</xdr:row>
      <xdr:rowOff>105834</xdr:rowOff>
    </xdr:from>
    <xdr:to>
      <xdr:col>9</xdr:col>
      <xdr:colOff>116417</xdr:colOff>
      <xdr:row>18</xdr:row>
      <xdr:rowOff>10584</xdr:rowOff>
    </xdr:to>
    <xdr:sp macro="" textlink="Pivot_Table!C10">
      <xdr:nvSpPr>
        <xdr:cNvPr id="3" name="TextBox 2">
          <a:extLst>
            <a:ext uri="{FF2B5EF4-FFF2-40B4-BE49-F238E27FC236}">
              <a16:creationId xmlns:a16="http://schemas.microsoft.com/office/drawing/2014/main" id="{BF198D26-5234-AA77-7306-68A87882E82A}"/>
            </a:ext>
          </a:extLst>
        </xdr:cNvPr>
        <xdr:cNvSpPr txBox="1"/>
      </xdr:nvSpPr>
      <xdr:spPr>
        <a:xfrm>
          <a:off x="4688417" y="2984501"/>
          <a:ext cx="1968500"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147BF7-6981-4488-9162-E19BA0D66C14}" type="TxLink">
            <a:rPr lang="en-US" sz="1400" b="1" i="0" u="none" strike="noStrike">
              <a:solidFill>
                <a:srgbClr val="000000"/>
              </a:solidFill>
              <a:latin typeface="Calibri"/>
              <a:ea typeface="Calibri"/>
              <a:cs typeface="Calibri"/>
            </a:rPr>
            <a:pPr/>
            <a:t>$12,874M</a:t>
          </a:fld>
          <a:endParaRPr lang="en-US" sz="1400" b="1"/>
        </a:p>
      </xdr:txBody>
    </xdr:sp>
    <xdr:clientData/>
  </xdr:twoCellAnchor>
  <xdr:twoCellAnchor>
    <xdr:from>
      <xdr:col>7</xdr:col>
      <xdr:colOff>285751</xdr:colOff>
      <xdr:row>22</xdr:row>
      <xdr:rowOff>169333</xdr:rowOff>
    </xdr:from>
    <xdr:to>
      <xdr:col>8</xdr:col>
      <xdr:colOff>433917</xdr:colOff>
      <xdr:row>25</xdr:row>
      <xdr:rowOff>10583</xdr:rowOff>
    </xdr:to>
    <xdr:sp macro="" textlink="Pivot_Table!C70">
      <xdr:nvSpPr>
        <xdr:cNvPr id="14" name="TextBox 13">
          <a:extLst>
            <a:ext uri="{FF2B5EF4-FFF2-40B4-BE49-F238E27FC236}">
              <a16:creationId xmlns:a16="http://schemas.microsoft.com/office/drawing/2014/main" id="{401C12CE-884C-5FAE-30CA-16778C63A9DC}"/>
            </a:ext>
          </a:extLst>
        </xdr:cNvPr>
        <xdr:cNvSpPr txBox="1"/>
      </xdr:nvSpPr>
      <xdr:spPr>
        <a:xfrm>
          <a:off x="4582584" y="4127500"/>
          <a:ext cx="1270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166D34-9ED3-48A4-AFA0-FE970C8F37E0}" type="TxLink">
            <a:rPr lang="en-US" sz="1400" b="1" i="0" u="none" strike="noStrike">
              <a:solidFill>
                <a:srgbClr val="000000"/>
              </a:solidFill>
              <a:latin typeface="Calibri"/>
              <a:ea typeface="Calibri"/>
              <a:cs typeface="Calibri"/>
            </a:rPr>
            <a:pPr/>
            <a:t> 25,48,675.00 </a:t>
          </a:fld>
          <a:endParaRPr lang="en-IN" sz="1400" b="1"/>
        </a:p>
      </xdr:txBody>
    </xdr:sp>
    <xdr:clientData/>
  </xdr:twoCellAnchor>
  <xdr:twoCellAnchor>
    <xdr:from>
      <xdr:col>7</xdr:col>
      <xdr:colOff>518583</xdr:colOff>
      <xdr:row>28</xdr:row>
      <xdr:rowOff>148166</xdr:rowOff>
    </xdr:from>
    <xdr:to>
      <xdr:col>8</xdr:col>
      <xdr:colOff>740833</xdr:colOff>
      <xdr:row>30</xdr:row>
      <xdr:rowOff>105833</xdr:rowOff>
    </xdr:to>
    <xdr:sp macro="" textlink="Pivot_Table!J70">
      <xdr:nvSpPr>
        <xdr:cNvPr id="15" name="TextBox 14">
          <a:extLst>
            <a:ext uri="{FF2B5EF4-FFF2-40B4-BE49-F238E27FC236}">
              <a16:creationId xmlns:a16="http://schemas.microsoft.com/office/drawing/2014/main" id="{4A93E95B-A0DE-31E8-A123-3EBB5F6D108E}"/>
            </a:ext>
          </a:extLst>
        </xdr:cNvPr>
        <xdr:cNvSpPr txBox="1"/>
      </xdr:nvSpPr>
      <xdr:spPr>
        <a:xfrm>
          <a:off x="4815416" y="5185833"/>
          <a:ext cx="13440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E8FD79-1CE5-4D3D-BD24-76364CD81F4F}" type="TxLink">
            <a:rPr lang="en-US" sz="1400" b="1" i="0" u="none" strike="noStrike">
              <a:solidFill>
                <a:srgbClr val="000000"/>
              </a:solidFill>
              <a:latin typeface="Calibri"/>
              <a:ea typeface="Calibri"/>
              <a:cs typeface="Calibri"/>
            </a:rPr>
            <a:pPr/>
            <a:t>1512</a:t>
          </a:fld>
          <a:endParaRPr lang="en-IN" sz="1400" b="1"/>
        </a:p>
      </xdr:txBody>
    </xdr:sp>
    <xdr:clientData/>
  </xdr:twoCellAnchor>
  <xdr:twoCellAnchor>
    <xdr:from>
      <xdr:col>7</xdr:col>
      <xdr:colOff>306917</xdr:colOff>
      <xdr:row>35</xdr:row>
      <xdr:rowOff>31750</xdr:rowOff>
    </xdr:from>
    <xdr:to>
      <xdr:col>8</xdr:col>
      <xdr:colOff>402166</xdr:colOff>
      <xdr:row>37</xdr:row>
      <xdr:rowOff>10583</xdr:rowOff>
    </xdr:to>
    <xdr:sp macro="" textlink="Pivot_Table!J81">
      <xdr:nvSpPr>
        <xdr:cNvPr id="16" name="TextBox 15">
          <a:extLst>
            <a:ext uri="{FF2B5EF4-FFF2-40B4-BE49-F238E27FC236}">
              <a16:creationId xmlns:a16="http://schemas.microsoft.com/office/drawing/2014/main" id="{8DF74FB4-59C0-C702-0B2E-BAAC0FDAA6F8}"/>
            </a:ext>
          </a:extLst>
        </xdr:cNvPr>
        <xdr:cNvSpPr txBox="1"/>
      </xdr:nvSpPr>
      <xdr:spPr>
        <a:xfrm>
          <a:off x="4603750" y="6328833"/>
          <a:ext cx="121708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969C76-E507-4993-B534-C7926894798C}" type="TxLink">
            <a:rPr lang="en-US" sz="1400" b="1" i="0" u="none" strike="noStrike">
              <a:solidFill>
                <a:srgbClr val="000000"/>
              </a:solidFill>
              <a:latin typeface="Calibri"/>
              <a:ea typeface="Calibri"/>
              <a:cs typeface="Calibri"/>
            </a:rPr>
            <a:pPr/>
            <a:t> 25,748.55 </a:t>
          </a:fld>
          <a:endParaRPr lang="en-IN" sz="1400" b="1"/>
        </a:p>
      </xdr:txBody>
    </xdr:sp>
    <xdr:clientData/>
  </xdr:twoCellAnchor>
  <xdr:twoCellAnchor editAs="oneCell">
    <xdr:from>
      <xdr:col>3</xdr:col>
      <xdr:colOff>455084</xdr:colOff>
      <xdr:row>2</xdr:row>
      <xdr:rowOff>62654</xdr:rowOff>
    </xdr:from>
    <xdr:to>
      <xdr:col>7</xdr:col>
      <xdr:colOff>793751</xdr:colOff>
      <xdr:row>12</xdr:row>
      <xdr:rowOff>84667</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2BEB4448-0E63-439E-8D49-4515146B00F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296584" y="422487"/>
              <a:ext cx="2794000" cy="18211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889000</xdr:colOff>
      <xdr:row>2</xdr:row>
      <xdr:rowOff>77470</xdr:rowOff>
    </xdr:from>
    <xdr:to>
      <xdr:col>12</xdr:col>
      <xdr:colOff>317500</xdr:colOff>
      <xdr:row>12</xdr:row>
      <xdr:rowOff>105833</xdr:rowOff>
    </xdr:to>
    <mc:AlternateContent xmlns:mc="http://schemas.openxmlformats.org/markup-compatibility/2006" xmlns:tsle="http://schemas.microsoft.com/office/drawing/2012/timeslicer">
      <mc:Choice Requires="tsle">
        <xdr:graphicFrame macro="">
          <xdr:nvGraphicFramePr>
            <xdr:cNvPr id="10" name="Order_Date 1">
              <a:extLst>
                <a:ext uri="{FF2B5EF4-FFF2-40B4-BE49-F238E27FC236}">
                  <a16:creationId xmlns:a16="http://schemas.microsoft.com/office/drawing/2014/main" id="{A8D859E5-39B9-44DC-AE59-3146CF10BA3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5185833" y="437303"/>
              <a:ext cx="3958167" cy="18275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431376</xdr:colOff>
      <xdr:row>2</xdr:row>
      <xdr:rowOff>77468</xdr:rowOff>
    </xdr:from>
    <xdr:to>
      <xdr:col>20</xdr:col>
      <xdr:colOff>465676</xdr:colOff>
      <xdr:row>12</xdr:row>
      <xdr:rowOff>105833</xdr:rowOff>
    </xdr:to>
    <mc:AlternateContent xmlns:mc="http://schemas.openxmlformats.org/markup-compatibility/2006" xmlns:tsle="http://schemas.microsoft.com/office/drawing/2012/timeslicer">
      <mc:Choice Requires="tsle">
        <xdr:graphicFrame macro="">
          <xdr:nvGraphicFramePr>
            <xdr:cNvPr id="12" name="Order_Date 2">
              <a:extLst>
                <a:ext uri="{FF2B5EF4-FFF2-40B4-BE49-F238E27FC236}">
                  <a16:creationId xmlns:a16="http://schemas.microsoft.com/office/drawing/2014/main" id="{216ABC24-6F88-455C-A28F-C17F479530E9}"/>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9257876" y="437301"/>
              <a:ext cx="5050800" cy="182753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10585</xdr:colOff>
      <xdr:row>2</xdr:row>
      <xdr:rowOff>66887</xdr:rowOff>
    </xdr:from>
    <xdr:to>
      <xdr:col>29</xdr:col>
      <xdr:colOff>149438</xdr:colOff>
      <xdr:row>12</xdr:row>
      <xdr:rowOff>95250</xdr:rowOff>
    </xdr:to>
    <mc:AlternateContent xmlns:mc="http://schemas.openxmlformats.org/markup-compatibility/2006" xmlns:tsle="http://schemas.microsoft.com/office/drawing/2012/timeslicer">
      <mc:Choice Requires="tsle">
        <xdr:graphicFrame macro="">
          <xdr:nvGraphicFramePr>
            <xdr:cNvPr id="13" name="Order_Date 3">
              <a:extLst>
                <a:ext uri="{FF2B5EF4-FFF2-40B4-BE49-F238E27FC236}">
                  <a16:creationId xmlns:a16="http://schemas.microsoft.com/office/drawing/2014/main" id="{1EF993CF-7EE1-47BF-B33C-7EE1513A3FB2}"/>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14467418" y="426720"/>
              <a:ext cx="5049520" cy="18275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21168</xdr:colOff>
      <xdr:row>13</xdr:row>
      <xdr:rowOff>63498</xdr:rowOff>
    </xdr:from>
    <xdr:to>
      <xdr:col>3</xdr:col>
      <xdr:colOff>276701</xdr:colOff>
      <xdr:row>15</xdr:row>
      <xdr:rowOff>148165</xdr:rowOff>
    </xdr:to>
    <xdr:sp macro="" textlink="">
      <xdr:nvSpPr>
        <xdr:cNvPr id="47" name="Rectangle: Rounded Corners 46">
          <a:extLst>
            <a:ext uri="{FF2B5EF4-FFF2-40B4-BE49-F238E27FC236}">
              <a16:creationId xmlns:a16="http://schemas.microsoft.com/office/drawing/2014/main" id="{AA7447ED-0852-B822-483F-AF9BF4BC4C32}"/>
            </a:ext>
          </a:extLst>
        </xdr:cNvPr>
        <xdr:cNvSpPr/>
      </xdr:nvSpPr>
      <xdr:spPr>
        <a:xfrm>
          <a:off x="635001" y="2402415"/>
          <a:ext cx="1483200" cy="444500"/>
        </a:xfrm>
        <a:prstGeom prst="roundRect">
          <a:avLst>
            <a:gd name="adj" fmla="val 4047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21167</xdr:colOff>
      <xdr:row>13</xdr:row>
      <xdr:rowOff>169334</xdr:rowOff>
    </xdr:from>
    <xdr:to>
      <xdr:col>3</xdr:col>
      <xdr:colOff>285750</xdr:colOff>
      <xdr:row>15</xdr:row>
      <xdr:rowOff>52917</xdr:rowOff>
    </xdr:to>
    <xdr:sp macro="" textlink="">
      <xdr:nvSpPr>
        <xdr:cNvPr id="48" name="TextBox 47">
          <a:hlinkClick xmlns:r="http://schemas.openxmlformats.org/officeDocument/2006/relationships" r:id="rId24"/>
          <a:extLst>
            <a:ext uri="{FF2B5EF4-FFF2-40B4-BE49-F238E27FC236}">
              <a16:creationId xmlns:a16="http://schemas.microsoft.com/office/drawing/2014/main" id="{4579227F-0B37-3F4E-8B72-9138A8E31B74}"/>
            </a:ext>
          </a:extLst>
        </xdr:cNvPr>
        <xdr:cNvSpPr txBox="1"/>
      </xdr:nvSpPr>
      <xdr:spPr>
        <a:xfrm>
          <a:off x="635000" y="2508251"/>
          <a:ext cx="1492250" cy="24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70C0"/>
              </a:solidFill>
            </a:rPr>
            <a:t>DASHBOARD</a:t>
          </a:r>
        </a:p>
      </xdr:txBody>
    </xdr:sp>
    <xdr:clientData/>
  </xdr:twoCellAnchor>
  <xdr:twoCellAnchor>
    <xdr:from>
      <xdr:col>0</xdr:col>
      <xdr:colOff>602828</xdr:colOff>
      <xdr:row>17</xdr:row>
      <xdr:rowOff>135467</xdr:rowOff>
    </xdr:from>
    <xdr:to>
      <xdr:col>3</xdr:col>
      <xdr:colOff>242994</xdr:colOff>
      <xdr:row>20</xdr:row>
      <xdr:rowOff>40217</xdr:rowOff>
    </xdr:to>
    <xdr:sp macro="" textlink="">
      <xdr:nvSpPr>
        <xdr:cNvPr id="49" name="Rectangle: Rounded Corners 48">
          <a:extLst>
            <a:ext uri="{FF2B5EF4-FFF2-40B4-BE49-F238E27FC236}">
              <a16:creationId xmlns:a16="http://schemas.microsoft.com/office/drawing/2014/main" id="{B4C62446-14FE-41C4-A9C6-7C5AE885C3C0}"/>
            </a:ext>
          </a:extLst>
        </xdr:cNvPr>
        <xdr:cNvSpPr/>
      </xdr:nvSpPr>
      <xdr:spPr>
        <a:xfrm>
          <a:off x="602828" y="3194050"/>
          <a:ext cx="1481666" cy="44450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116418</xdr:colOff>
      <xdr:row>18</xdr:row>
      <xdr:rowOff>84668</xdr:rowOff>
    </xdr:from>
    <xdr:to>
      <xdr:col>3</xdr:col>
      <xdr:colOff>158751</xdr:colOff>
      <xdr:row>19</xdr:row>
      <xdr:rowOff>127001</xdr:rowOff>
    </xdr:to>
    <xdr:sp macro="" textlink="">
      <xdr:nvSpPr>
        <xdr:cNvPr id="52" name="TextBox 51">
          <a:hlinkClick xmlns:r="http://schemas.openxmlformats.org/officeDocument/2006/relationships" r:id="rId25"/>
          <a:extLst>
            <a:ext uri="{FF2B5EF4-FFF2-40B4-BE49-F238E27FC236}">
              <a16:creationId xmlns:a16="http://schemas.microsoft.com/office/drawing/2014/main" id="{F1DCFB01-F434-A545-4A92-D2D2080E9770}"/>
            </a:ext>
          </a:extLst>
        </xdr:cNvPr>
        <xdr:cNvSpPr txBox="1"/>
      </xdr:nvSpPr>
      <xdr:spPr>
        <a:xfrm>
          <a:off x="730251" y="3323168"/>
          <a:ext cx="12700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SUMMARY</a:t>
          </a:r>
        </a:p>
      </xdr:txBody>
    </xdr:sp>
    <xdr:clientData/>
  </xdr:twoCellAnchor>
  <xdr:twoCellAnchor>
    <xdr:from>
      <xdr:col>0</xdr:col>
      <xdr:colOff>602826</xdr:colOff>
      <xdr:row>22</xdr:row>
      <xdr:rowOff>103717</xdr:rowOff>
    </xdr:from>
    <xdr:to>
      <xdr:col>3</xdr:col>
      <xdr:colOff>242992</xdr:colOff>
      <xdr:row>25</xdr:row>
      <xdr:rowOff>8467</xdr:rowOff>
    </xdr:to>
    <xdr:sp macro="" textlink="">
      <xdr:nvSpPr>
        <xdr:cNvPr id="58" name="Rectangle: Rounded Corners 57">
          <a:extLst>
            <a:ext uri="{FF2B5EF4-FFF2-40B4-BE49-F238E27FC236}">
              <a16:creationId xmlns:a16="http://schemas.microsoft.com/office/drawing/2014/main" id="{7ECB695D-06CC-47DC-B91E-ED384941F01A}"/>
            </a:ext>
          </a:extLst>
        </xdr:cNvPr>
        <xdr:cNvSpPr/>
      </xdr:nvSpPr>
      <xdr:spPr>
        <a:xfrm>
          <a:off x="602826" y="4061884"/>
          <a:ext cx="1481666" cy="44450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201084</xdr:colOff>
      <xdr:row>23</xdr:row>
      <xdr:rowOff>42334</xdr:rowOff>
    </xdr:from>
    <xdr:to>
      <xdr:col>2</xdr:col>
      <xdr:colOff>550333</xdr:colOff>
      <xdr:row>24</xdr:row>
      <xdr:rowOff>84667</xdr:rowOff>
    </xdr:to>
    <xdr:sp macro="" textlink="">
      <xdr:nvSpPr>
        <xdr:cNvPr id="59" name="TextBox 58">
          <a:hlinkClick xmlns:r="http://schemas.openxmlformats.org/officeDocument/2006/relationships" r:id="rId26"/>
          <a:extLst>
            <a:ext uri="{FF2B5EF4-FFF2-40B4-BE49-F238E27FC236}">
              <a16:creationId xmlns:a16="http://schemas.microsoft.com/office/drawing/2014/main" id="{D606531B-FDF2-6E1C-9FBE-BD16D70A4F4F}"/>
            </a:ext>
          </a:extLst>
        </xdr:cNvPr>
        <xdr:cNvSpPr txBox="1"/>
      </xdr:nvSpPr>
      <xdr:spPr>
        <a:xfrm>
          <a:off x="814917" y="4180417"/>
          <a:ext cx="96308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DATA</a:t>
          </a:r>
        </a:p>
      </xdr:txBody>
    </xdr:sp>
    <xdr:clientData/>
  </xdr:twoCellAnchor>
  <xdr:twoCellAnchor editAs="oneCell">
    <xdr:from>
      <xdr:col>1</xdr:col>
      <xdr:colOff>42334</xdr:colOff>
      <xdr:row>0</xdr:row>
      <xdr:rowOff>148167</xdr:rowOff>
    </xdr:from>
    <xdr:to>
      <xdr:col>3</xdr:col>
      <xdr:colOff>169333</xdr:colOff>
      <xdr:row>9</xdr:row>
      <xdr:rowOff>21167</xdr:rowOff>
    </xdr:to>
    <xdr:pic>
      <xdr:nvPicPr>
        <xdr:cNvPr id="60" name="Graphic 59" descr="Document with solid fill">
          <a:extLst>
            <a:ext uri="{FF2B5EF4-FFF2-40B4-BE49-F238E27FC236}">
              <a16:creationId xmlns:a16="http://schemas.microsoft.com/office/drawing/2014/main" id="{B841F56B-6047-AAA4-EB0F-CE509592CA5C}"/>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656167" y="148167"/>
          <a:ext cx="1354666" cy="1492250"/>
        </a:xfrm>
        <a:prstGeom prst="rect">
          <a:avLst/>
        </a:prstGeom>
      </xdr:spPr>
    </xdr:pic>
    <xdr:clientData/>
  </xdr:twoCellAnchor>
  <xdr:twoCellAnchor editAs="oneCell">
    <xdr:from>
      <xdr:col>3</xdr:col>
      <xdr:colOff>433916</xdr:colOff>
      <xdr:row>39</xdr:row>
      <xdr:rowOff>10583</xdr:rowOff>
    </xdr:from>
    <xdr:to>
      <xdr:col>6</xdr:col>
      <xdr:colOff>63500</xdr:colOff>
      <xdr:row>49</xdr:row>
      <xdr:rowOff>10583</xdr:rowOff>
    </xdr:to>
    <mc:AlternateContent xmlns:mc="http://schemas.openxmlformats.org/markup-compatibility/2006" xmlns:a14="http://schemas.microsoft.com/office/drawing/2010/main">
      <mc:Choice Requires="a14">
        <xdr:graphicFrame macro="">
          <xdr:nvGraphicFramePr>
            <xdr:cNvPr id="51" name="City">
              <a:extLst>
                <a:ext uri="{FF2B5EF4-FFF2-40B4-BE49-F238E27FC236}">
                  <a16:creationId xmlns:a16="http://schemas.microsoft.com/office/drawing/2014/main" id="{A69D7BE6-87AD-4C86-8985-E4B79B13E11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75416" y="7027333"/>
              <a:ext cx="1471084" cy="179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bles" refreshedDate="46322.552710416669" missingItemsLimit="0" createdVersion="8" refreshedVersion="8" minRefreshableVersion="3" recordCount="500" xr:uid="{895FB36D-9E37-41DA-8F3E-D4FEC55ACB7D}">
  <cacheSource type="worksheet">
    <worksheetSource name="Table1"/>
  </cacheSource>
  <cacheFields count="18">
    <cacheField name="Order_ID" numFmtId="0">
      <sharedItems/>
    </cacheField>
    <cacheField name="Order_Date" numFmtId="14">
      <sharedItems containsSemiMixedTypes="0" containsNonDate="0" containsDate="1" containsString="0" minDate="2025-01-01T00:00:00" maxDate="2026-01-01T00:00:00" count="272">
        <d v="2025-11-24T00:00:00"/>
        <d v="2025-10-30T00:00:00"/>
        <d v="2025-11-29T00:00:00"/>
        <d v="2025-12-24T00:00:00"/>
        <d v="2025-07-14T00:00:00"/>
        <d v="2025-02-10T00:00:00"/>
        <d v="2025-12-05T00:00:00"/>
        <d v="2025-08-21T00:00:00"/>
        <d v="2025-10-01T00:00:00"/>
        <d v="2025-01-29T00:00:00"/>
        <d v="2025-10-18T00:00:00"/>
        <d v="2025-03-13T00:00:00"/>
        <d v="2025-07-05T00:00:00"/>
        <d v="2025-11-18T00:00:00"/>
        <d v="2025-10-11T00:00:00"/>
        <d v="2025-08-11T00:00:00"/>
        <d v="2025-09-08T00:00:00"/>
        <d v="2025-02-13T00:00:00"/>
        <d v="2025-09-28T00:00:00"/>
        <d v="2025-08-13T00:00:00"/>
        <d v="2025-10-29T00:00:00"/>
        <d v="2025-02-04T00:00:00"/>
        <d v="2025-04-20T00:00:00"/>
        <d v="2025-02-18T00:00:00"/>
        <d v="2025-12-11T00:00:00"/>
        <d v="2025-10-02T00:00:00"/>
        <d v="2025-08-15T00:00:00"/>
        <d v="2025-09-06T00:00:00"/>
        <d v="2025-05-16T00:00:00"/>
        <d v="2025-01-30T00:00:00"/>
        <d v="2025-10-27T00:00:00"/>
        <d v="2025-02-05T00:00:00"/>
        <d v="2025-11-14T00:00:00"/>
        <d v="2025-11-15T00:00:00"/>
        <d v="2025-12-08T00:00:00"/>
        <d v="2025-05-20T00:00:00"/>
        <d v="2025-01-27T00:00:00"/>
        <d v="2025-11-23T00:00:00"/>
        <d v="2025-12-20T00:00:00"/>
        <d v="2025-03-07T00:00:00"/>
        <d v="2025-07-01T00:00:00"/>
        <d v="2025-01-13T00:00:00"/>
        <d v="2025-12-26T00:00:00"/>
        <d v="2025-06-06T00:00:00"/>
        <d v="2025-05-23T00:00:00"/>
        <d v="2025-03-01T00:00:00"/>
        <d v="2025-06-10T00:00:00"/>
        <d v="2025-01-23T00:00:00"/>
        <d v="2025-11-16T00:00:00"/>
        <d v="2025-07-26T00:00:00"/>
        <d v="2025-07-27T00:00:00"/>
        <d v="2025-08-27T00:00:00"/>
        <d v="2025-09-21T00:00:00"/>
        <d v="2025-03-17T00:00:00"/>
        <d v="2025-11-19T00:00:00"/>
        <d v="2025-02-24T00:00:00"/>
        <d v="2025-08-22T00:00:00"/>
        <d v="2025-03-23T00:00:00"/>
        <d v="2025-05-21T00:00:00"/>
        <d v="2025-03-12T00:00:00"/>
        <d v="2025-07-28T00:00:00"/>
        <d v="2025-07-19T00:00:00"/>
        <d v="2025-04-04T00:00:00"/>
        <d v="2025-06-29T00:00:00"/>
        <d v="2025-12-25T00:00:00"/>
        <d v="2025-06-09T00:00:00"/>
        <d v="2025-02-08T00:00:00"/>
        <d v="2025-06-27T00:00:00"/>
        <d v="2025-09-25T00:00:00"/>
        <d v="2025-05-06T00:00:00"/>
        <d v="2025-01-15T00:00:00"/>
        <d v="2025-06-24T00:00:00"/>
        <d v="2025-02-17T00:00:00"/>
        <d v="2025-05-09T00:00:00"/>
        <d v="2025-04-21T00:00:00"/>
        <d v="2025-07-04T00:00:00"/>
        <d v="2025-09-03T00:00:00"/>
        <d v="2025-07-25T00:00:00"/>
        <d v="2025-05-08T00:00:00"/>
        <d v="2025-06-02T00:00:00"/>
        <d v="2025-07-29T00:00:00"/>
        <d v="2025-12-28T00:00:00"/>
        <d v="2025-08-06T00:00:00"/>
        <d v="2025-03-26T00:00:00"/>
        <d v="2025-06-15T00:00:00"/>
        <d v="2025-10-23T00:00:00"/>
        <d v="2025-06-14T00:00:00"/>
        <d v="2025-10-09T00:00:00"/>
        <d v="2025-10-10T00:00:00"/>
        <d v="2025-05-30T00:00:00"/>
        <d v="2025-09-17T00:00:00"/>
        <d v="2025-08-17T00:00:00"/>
        <d v="2025-08-31T00:00:00"/>
        <d v="2025-08-14T00:00:00"/>
        <d v="2025-12-12T00:00:00"/>
        <d v="2025-11-20T00:00:00"/>
        <d v="2025-12-22T00:00:00"/>
        <d v="2025-08-09T00:00:00"/>
        <d v="2025-08-25T00:00:00"/>
        <d v="2025-04-12T00:00:00"/>
        <d v="2025-05-27T00:00:00"/>
        <d v="2025-02-16T00:00:00"/>
        <d v="2025-01-08T00:00:00"/>
        <d v="2025-02-25T00:00:00"/>
        <d v="2025-09-10T00:00:00"/>
        <d v="2025-10-28T00:00:00"/>
        <d v="2025-10-06T00:00:00"/>
        <d v="2025-12-06T00:00:00"/>
        <d v="2025-10-17T00:00:00"/>
        <d v="2025-02-26T00:00:00"/>
        <d v="2025-03-31T00:00:00"/>
        <d v="2025-08-18T00:00:00"/>
        <d v="2025-12-04T00:00:00"/>
        <d v="2025-12-18T00:00:00"/>
        <d v="2025-03-06T00:00:00"/>
        <d v="2025-09-16T00:00:00"/>
        <d v="2025-08-20T00:00:00"/>
        <d v="2025-08-07T00:00:00"/>
        <d v="2025-12-10T00:00:00"/>
        <d v="2025-06-30T00:00:00"/>
        <d v="2025-11-08T00:00:00"/>
        <d v="2025-01-04T00:00:00"/>
        <d v="2025-09-29T00:00:00"/>
        <d v="2025-06-16T00:00:00"/>
        <d v="2025-01-24T00:00:00"/>
        <d v="2025-03-08T00:00:00"/>
        <d v="2025-01-10T00:00:00"/>
        <d v="2025-02-28T00:00:00"/>
        <d v="2025-08-12T00:00:00"/>
        <d v="2025-06-23T00:00:00"/>
        <d v="2025-12-02T00:00:00"/>
        <d v="2025-10-25T00:00:00"/>
        <d v="2025-09-14T00:00:00"/>
        <d v="2025-05-07T00:00:00"/>
        <d v="2025-02-11T00:00:00"/>
        <d v="2025-06-08T00:00:00"/>
        <d v="2025-09-18T00:00:00"/>
        <d v="2025-04-09T00:00:00"/>
        <d v="2025-11-13T00:00:00"/>
        <d v="2025-05-25T00:00:00"/>
        <d v="2025-02-12T00:00:00"/>
        <d v="2025-06-28T00:00:00"/>
        <d v="2025-01-20T00:00:00"/>
        <d v="2025-05-28T00:00:00"/>
        <d v="2025-12-07T00:00:00"/>
        <d v="2025-08-29T00:00:00"/>
        <d v="2025-06-26T00:00:00"/>
        <d v="2025-11-26T00:00:00"/>
        <d v="2025-08-23T00:00:00"/>
        <d v="2025-07-02T00:00:00"/>
        <d v="2025-10-21T00:00:00"/>
        <d v="2025-01-14T00:00:00"/>
        <d v="2025-12-27T00:00:00"/>
        <d v="2025-03-11T00:00:00"/>
        <d v="2025-03-04T00:00:00"/>
        <d v="2025-08-28T00:00:00"/>
        <d v="2025-09-27T00:00:00"/>
        <d v="2025-09-23T00:00:00"/>
        <d v="2025-10-31T00:00:00"/>
        <d v="2025-11-25T00:00:00"/>
        <d v="2025-03-22T00:00:00"/>
        <d v="2025-06-13T00:00:00"/>
        <d v="2025-05-04T00:00:00"/>
        <d v="2025-05-29T00:00:00"/>
        <d v="2025-04-08T00:00:00"/>
        <d v="2025-01-26T00:00:00"/>
        <d v="2025-10-19T00:00:00"/>
        <d v="2025-03-15T00:00:00"/>
        <d v="2025-11-10T00:00:00"/>
        <d v="2025-09-01T00:00:00"/>
        <d v="2025-11-02T00:00:00"/>
        <d v="2025-09-26T00:00:00"/>
        <d v="2025-11-09T00:00:00"/>
        <d v="2025-01-22T00:00:00"/>
        <d v="2025-04-14T00:00:00"/>
        <d v="2025-02-21T00:00:00"/>
        <d v="2025-03-10T00:00:00"/>
        <d v="2025-11-28T00:00:00"/>
        <d v="2025-12-09T00:00:00"/>
        <d v="2025-07-16T00:00:00"/>
        <d v="2025-12-01T00:00:00"/>
        <d v="2025-11-11T00:00:00"/>
        <d v="2025-09-19T00:00:00"/>
        <d v="2025-10-16T00:00:00"/>
        <d v="2025-01-02T00:00:00"/>
        <d v="2025-07-15T00:00:00"/>
        <d v="2025-03-02T00:00:00"/>
        <d v="2025-08-24T00:00:00"/>
        <d v="2025-11-03T00:00:00"/>
        <d v="2025-06-04T00:00:00"/>
        <d v="2025-10-13T00:00:00"/>
        <d v="2025-06-03T00:00:00"/>
        <d v="2025-08-26T00:00:00"/>
        <d v="2025-05-05T00:00:00"/>
        <d v="2025-04-17T00:00:00"/>
        <d v="2025-12-23T00:00:00"/>
        <d v="2025-02-20T00:00:00"/>
        <d v="2025-03-20T00:00:00"/>
        <d v="2025-05-12T00:00:00"/>
        <d v="2025-10-07T00:00:00"/>
        <d v="2025-09-30T00:00:00"/>
        <d v="2025-09-15T00:00:00"/>
        <d v="2025-09-13T00:00:00"/>
        <d v="2025-12-21T00:00:00"/>
        <d v="2025-06-11T00:00:00"/>
        <d v="2025-03-25T00:00:00"/>
        <d v="2025-09-09T00:00:00"/>
        <d v="2025-12-31T00:00:00"/>
        <d v="2025-06-07T00:00:00"/>
        <d v="2025-07-18T00:00:00"/>
        <d v="2025-03-28T00:00:00"/>
        <d v="2025-11-17T00:00:00"/>
        <d v="2025-11-30T00:00:00"/>
        <d v="2025-04-01T00:00:00"/>
        <d v="2025-05-24T00:00:00"/>
        <d v="2025-10-26T00:00:00"/>
        <d v="2025-06-19T00:00:00"/>
        <d v="2025-07-11T00:00:00"/>
        <d v="2025-06-01T00:00:00"/>
        <d v="2025-04-16T00:00:00"/>
        <d v="2025-09-22T00:00:00"/>
        <d v="2025-05-03T00:00:00"/>
        <d v="2025-01-05T00:00:00"/>
        <d v="2025-12-17T00:00:00"/>
        <d v="2025-02-14T00:00:00"/>
        <d v="2025-07-12T00:00:00"/>
        <d v="2025-09-07T00:00:00"/>
        <d v="2025-06-22T00:00:00"/>
        <d v="2025-04-22T00:00:00"/>
        <d v="2025-02-07T00:00:00"/>
        <d v="2025-07-23T00:00:00"/>
        <d v="2025-12-29T00:00:00"/>
        <d v="2025-07-10T00:00:00"/>
        <d v="2025-03-18T00:00:00"/>
        <d v="2025-04-25T00:00:00"/>
        <d v="2025-12-03T00:00:00"/>
        <d v="2025-05-14T00:00:00"/>
        <d v="2025-11-27T00:00:00"/>
        <d v="2025-03-30T00:00:00"/>
        <d v="2025-05-19T00:00:00"/>
        <d v="2025-05-17T00:00:00"/>
        <d v="2025-01-12T00:00:00"/>
        <d v="2025-01-01T00:00:00"/>
        <d v="2025-01-11T00:00:00"/>
        <d v="2025-11-07T00:00:00"/>
        <d v="2025-02-19T00:00:00"/>
        <d v="2025-03-29T00:00:00"/>
        <d v="2025-04-06T00:00:00"/>
        <d v="2025-04-19T00:00:00"/>
        <d v="2025-11-01T00:00:00"/>
        <d v="2025-05-22T00:00:00"/>
        <d v="2025-07-30T00:00:00"/>
        <d v="2025-08-02T00:00:00"/>
        <d v="2025-12-15T00:00:00"/>
        <d v="2025-07-17T00:00:00"/>
        <d v="2025-05-10T00:00:00"/>
        <d v="2025-10-15T00:00:00"/>
        <d v="2025-06-25T00:00:00"/>
        <d v="2025-11-21T00:00:00"/>
        <d v="2025-02-15T00:00:00"/>
        <d v="2025-01-03T00:00:00"/>
        <d v="2025-12-13T00:00:00"/>
        <d v="2025-02-22T00:00:00"/>
        <d v="2025-07-03T00:00:00"/>
        <d v="2025-08-03T00:00:00"/>
        <d v="2025-01-21T00:00:00"/>
        <d v="2025-02-23T00:00:00"/>
        <d v="2025-03-03T00:00:00"/>
        <d v="2025-03-16T00:00:00"/>
        <d v="2025-01-07T00:00:00"/>
        <d v="2025-05-31T00:00:00"/>
        <d v="2025-09-24T00:00:00"/>
      </sharedItems>
    </cacheField>
    <cacheField name="Customer_ID" numFmtId="0">
      <sharedItems/>
    </cacheField>
    <cacheField name="Customer_Name" numFmtId="0">
      <sharedItems count="20">
        <s v="Sneha"/>
        <s v="Meena"/>
        <s v="Kavya"/>
        <s v="Neha"/>
        <s v="Divya"/>
        <s v="Manoj"/>
        <s v="Anjali"/>
        <s v="Rahul"/>
        <s v="Naveen"/>
        <s v="Swathi"/>
        <s v="Asha"/>
        <s v="Priya"/>
        <s v="Suresh"/>
        <s v="Rohit"/>
        <s v="Arun"/>
        <s v="Akash"/>
        <s v="Pooja"/>
        <s v="Ravi"/>
        <s v="Kiran"/>
        <s v="Vijay"/>
      </sharedItems>
    </cacheField>
    <cacheField name="Product" numFmtId="0">
      <sharedItems count="14">
        <s v="Laptop"/>
        <s v="Bookshelf"/>
        <s v="Desk"/>
        <s v="Office Chair"/>
        <s v="Mixer Grinder"/>
        <s v="Headphones"/>
        <s v="Air Fryer"/>
        <s v="Smart Watch"/>
        <s v="Coffee Maker"/>
        <s v="Jeans"/>
        <s v="Backpack"/>
        <s v="T-Shirt"/>
        <s v="Smartphone"/>
        <s v="Shoes"/>
      </sharedItems>
    </cacheField>
    <cacheField name="Category" numFmtId="0">
      <sharedItems count="5">
        <s v="Electronics"/>
        <s v="Furniture"/>
        <s v="Home Appliances"/>
        <s v="Fashion"/>
        <s v="Bags"/>
      </sharedItems>
    </cacheField>
    <cacheField name="Region" numFmtId="0">
      <sharedItems count="4">
        <s v="North"/>
        <s v="South"/>
        <s v="East"/>
        <s v="West"/>
      </sharedItems>
    </cacheField>
    <cacheField name="City" numFmtId="0">
      <sharedItems count="12">
        <s v="Delhi"/>
        <s v="Bengaluru"/>
        <s v="Patna"/>
        <s v="Mumbai"/>
        <s v="Ahmedabad"/>
        <s v="Bhubaneswar"/>
        <s v="Pune"/>
        <s v="Kolkata"/>
        <s v="Chennai"/>
        <s v="Jaipur"/>
        <s v="Lucknow"/>
        <s v="Hyderabad"/>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900" maxValue="55000"/>
    </cacheField>
    <cacheField name="Discount" numFmtId="0">
      <sharedItems containsSemiMixedTypes="0" containsString="0" containsNumber="1" minValue="0" maxValue="0.15"/>
    </cacheField>
    <cacheField name="Sales" numFmtId="0">
      <sharedItems containsSemiMixedTypes="0" containsString="0" containsNumber="1" containsInteger="1" minValue="810" maxValue="275000"/>
    </cacheField>
    <cacheField name="Cost" numFmtId="0">
      <sharedItems containsSemiMixedTypes="0" containsString="0" containsNumber="1" containsInteger="1" minValue="500" maxValue="225000"/>
    </cacheField>
    <cacheField name="Profit" numFmtId="0">
      <sharedItems containsSemiMixedTypes="0" containsString="0" containsNumber="1" containsInteger="1" minValue="310" maxValue="50000"/>
    </cacheField>
    <cacheField name="Payment_Method" numFmtId="0">
      <sharedItems count="4">
        <s v="UPI"/>
        <s v="Cash on Delivery"/>
        <s v="Credit Card"/>
        <s v="Debit Card"/>
      </sharedItems>
    </cacheField>
    <cacheField name="Sales_Channel" numFmtId="0">
      <sharedItems count="2">
        <s v="Website"/>
        <s v="Mobile App"/>
      </sharedItems>
    </cacheField>
    <cacheField name="Month" numFmtId="0">
      <sharedItems count="12">
        <s v="Nov"/>
        <s v="Oct"/>
        <s v="Dec"/>
        <s v="Jul"/>
        <s v="Feb"/>
        <s v="Aug"/>
        <s v="Jan"/>
        <s v="Mar"/>
        <s v="Sep"/>
        <s v="Apr"/>
        <s v="May"/>
        <s v="Jun"/>
      </sharedItems>
    </cacheField>
    <cacheField name="Column1" numFmtId="0">
      <sharedItems/>
    </cacheField>
  </cacheFields>
  <extLst>
    <ext xmlns:x14="http://schemas.microsoft.com/office/spreadsheetml/2009/9/main" uri="{725AE2AE-9491-48be-B2B4-4EB974FC3084}">
      <x14:pivotCacheDefinition pivotCacheId="166792778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s v="C004"/>
    <x v="0"/>
    <x v="0"/>
    <x v="0"/>
    <x v="0"/>
    <x v="0"/>
    <n v="3"/>
    <n v="55000"/>
    <n v="0"/>
    <n v="165000"/>
    <n v="135000"/>
    <n v="30000"/>
    <x v="0"/>
    <x v="0"/>
    <x v="0"/>
    <b v="1"/>
  </r>
  <r>
    <s v="ORD0002"/>
    <x v="1"/>
    <s v="C014"/>
    <x v="1"/>
    <x v="0"/>
    <x v="0"/>
    <x v="1"/>
    <x v="1"/>
    <n v="1"/>
    <n v="55000"/>
    <n v="0"/>
    <n v="55000"/>
    <n v="45000"/>
    <n v="10000"/>
    <x v="0"/>
    <x v="0"/>
    <x v="1"/>
    <b v="1"/>
  </r>
  <r>
    <s v="ORD0003"/>
    <x v="2"/>
    <s v="C018"/>
    <x v="2"/>
    <x v="1"/>
    <x v="1"/>
    <x v="2"/>
    <x v="2"/>
    <n v="2"/>
    <n v="7000"/>
    <n v="0.05"/>
    <n v="13300"/>
    <n v="9600"/>
    <n v="3700"/>
    <x v="0"/>
    <x v="0"/>
    <x v="0"/>
    <b v="1"/>
  </r>
  <r>
    <s v="ORD0004"/>
    <x v="3"/>
    <s v="C014"/>
    <x v="1"/>
    <x v="2"/>
    <x v="1"/>
    <x v="0"/>
    <x v="0"/>
    <n v="3"/>
    <n v="12000"/>
    <n v="0.05"/>
    <n v="34200"/>
    <n v="25500"/>
    <n v="8700"/>
    <x v="0"/>
    <x v="0"/>
    <x v="2"/>
    <b v="1"/>
  </r>
  <r>
    <s v="ORD0005"/>
    <x v="4"/>
    <s v="C004"/>
    <x v="0"/>
    <x v="2"/>
    <x v="1"/>
    <x v="3"/>
    <x v="3"/>
    <n v="3"/>
    <n v="12000"/>
    <n v="0.1"/>
    <n v="32400"/>
    <n v="25500"/>
    <n v="6900"/>
    <x v="0"/>
    <x v="1"/>
    <x v="3"/>
    <b v="1"/>
  </r>
  <r>
    <s v="ORD0006"/>
    <x v="5"/>
    <s v="C018"/>
    <x v="2"/>
    <x v="3"/>
    <x v="1"/>
    <x v="3"/>
    <x v="4"/>
    <n v="5"/>
    <n v="8000"/>
    <n v="0"/>
    <n v="40000"/>
    <n v="28000"/>
    <n v="12000"/>
    <x v="0"/>
    <x v="0"/>
    <x v="4"/>
    <b v="1"/>
  </r>
  <r>
    <s v="ORD0007"/>
    <x v="6"/>
    <s v="C008"/>
    <x v="3"/>
    <x v="4"/>
    <x v="2"/>
    <x v="1"/>
    <x v="1"/>
    <n v="3"/>
    <n v="3500"/>
    <n v="0"/>
    <n v="10500"/>
    <n v="7200"/>
    <n v="3300"/>
    <x v="1"/>
    <x v="1"/>
    <x v="2"/>
    <b v="1"/>
  </r>
  <r>
    <s v="ORD0008"/>
    <x v="7"/>
    <s v="C012"/>
    <x v="4"/>
    <x v="5"/>
    <x v="0"/>
    <x v="3"/>
    <x v="3"/>
    <n v="3"/>
    <n v="2500"/>
    <n v="0.05"/>
    <n v="7125"/>
    <n v="5100"/>
    <n v="2025"/>
    <x v="0"/>
    <x v="0"/>
    <x v="5"/>
    <b v="1"/>
  </r>
  <r>
    <s v="ORD0009"/>
    <x v="8"/>
    <s v="C008"/>
    <x v="3"/>
    <x v="5"/>
    <x v="0"/>
    <x v="2"/>
    <x v="5"/>
    <n v="4"/>
    <n v="2500"/>
    <n v="0.15"/>
    <n v="8500"/>
    <n v="6800"/>
    <n v="1700"/>
    <x v="2"/>
    <x v="1"/>
    <x v="1"/>
    <b v="1"/>
  </r>
  <r>
    <s v="ORD0010"/>
    <x v="9"/>
    <s v="C008"/>
    <x v="3"/>
    <x v="6"/>
    <x v="2"/>
    <x v="3"/>
    <x v="6"/>
    <n v="1"/>
    <n v="6000"/>
    <n v="0.05"/>
    <n v="5700"/>
    <n v="4200"/>
    <n v="1500"/>
    <x v="0"/>
    <x v="0"/>
    <x v="6"/>
    <b v="1"/>
  </r>
  <r>
    <s v="ORD0011"/>
    <x v="10"/>
    <s v="C011"/>
    <x v="5"/>
    <x v="7"/>
    <x v="0"/>
    <x v="2"/>
    <x v="2"/>
    <n v="4"/>
    <n v="5000"/>
    <n v="0.1"/>
    <n v="18000"/>
    <n v="14000"/>
    <n v="4000"/>
    <x v="2"/>
    <x v="1"/>
    <x v="1"/>
    <b v="1"/>
  </r>
  <r>
    <s v="ORD0012"/>
    <x v="11"/>
    <s v="C008"/>
    <x v="3"/>
    <x v="8"/>
    <x v="2"/>
    <x v="3"/>
    <x v="4"/>
    <n v="5"/>
    <n v="4500"/>
    <n v="0.15"/>
    <n v="19125"/>
    <n v="15500"/>
    <n v="3625"/>
    <x v="1"/>
    <x v="1"/>
    <x v="7"/>
    <b v="1"/>
  </r>
  <r>
    <s v="ORD0013"/>
    <x v="12"/>
    <s v="C008"/>
    <x v="3"/>
    <x v="5"/>
    <x v="0"/>
    <x v="2"/>
    <x v="7"/>
    <n v="5"/>
    <n v="2500"/>
    <n v="0"/>
    <n v="12500"/>
    <n v="8500"/>
    <n v="4000"/>
    <x v="0"/>
    <x v="0"/>
    <x v="3"/>
    <b v="1"/>
  </r>
  <r>
    <s v="ORD0014"/>
    <x v="13"/>
    <s v="C006"/>
    <x v="6"/>
    <x v="4"/>
    <x v="2"/>
    <x v="1"/>
    <x v="8"/>
    <n v="4"/>
    <n v="3500"/>
    <n v="0.1"/>
    <n v="12600"/>
    <n v="9600"/>
    <n v="3000"/>
    <x v="1"/>
    <x v="1"/>
    <x v="0"/>
    <b v="1"/>
  </r>
  <r>
    <s v="ORD0015"/>
    <x v="14"/>
    <s v="C001"/>
    <x v="7"/>
    <x v="9"/>
    <x v="3"/>
    <x v="3"/>
    <x v="4"/>
    <n v="1"/>
    <n v="1800"/>
    <n v="0.05"/>
    <n v="1710"/>
    <n v="1100"/>
    <n v="610"/>
    <x v="0"/>
    <x v="1"/>
    <x v="1"/>
    <b v="1"/>
  </r>
  <r>
    <s v="ORD0016"/>
    <x v="15"/>
    <s v="C006"/>
    <x v="6"/>
    <x v="10"/>
    <x v="4"/>
    <x v="3"/>
    <x v="4"/>
    <n v="1"/>
    <n v="1800"/>
    <n v="0"/>
    <n v="1800"/>
    <n v="1100"/>
    <n v="700"/>
    <x v="0"/>
    <x v="1"/>
    <x v="5"/>
    <b v="1"/>
  </r>
  <r>
    <s v="ORD0017"/>
    <x v="0"/>
    <s v="C017"/>
    <x v="8"/>
    <x v="11"/>
    <x v="3"/>
    <x v="0"/>
    <x v="9"/>
    <n v="2"/>
    <n v="900"/>
    <n v="0"/>
    <n v="1800"/>
    <n v="1000"/>
    <n v="800"/>
    <x v="0"/>
    <x v="1"/>
    <x v="0"/>
    <b v="1"/>
  </r>
  <r>
    <s v="ORD0018"/>
    <x v="16"/>
    <s v="C001"/>
    <x v="7"/>
    <x v="12"/>
    <x v="0"/>
    <x v="3"/>
    <x v="3"/>
    <n v="3"/>
    <n v="25000"/>
    <n v="0"/>
    <n v="75000"/>
    <n v="61500"/>
    <n v="13500"/>
    <x v="2"/>
    <x v="0"/>
    <x v="8"/>
    <b v="1"/>
  </r>
  <r>
    <s v="ORD0019"/>
    <x v="17"/>
    <s v="C016"/>
    <x v="9"/>
    <x v="6"/>
    <x v="2"/>
    <x v="0"/>
    <x v="0"/>
    <n v="1"/>
    <n v="6000"/>
    <n v="0.1"/>
    <n v="5400"/>
    <n v="4200"/>
    <n v="1200"/>
    <x v="2"/>
    <x v="1"/>
    <x v="4"/>
    <b v="1"/>
  </r>
  <r>
    <s v="ORD0020"/>
    <x v="18"/>
    <s v="C020"/>
    <x v="10"/>
    <x v="1"/>
    <x v="1"/>
    <x v="0"/>
    <x v="10"/>
    <n v="2"/>
    <n v="7000"/>
    <n v="0.05"/>
    <n v="13300"/>
    <n v="9600"/>
    <n v="3700"/>
    <x v="1"/>
    <x v="1"/>
    <x v="8"/>
    <b v="1"/>
  </r>
  <r>
    <s v="ORD0021"/>
    <x v="19"/>
    <s v="C017"/>
    <x v="8"/>
    <x v="10"/>
    <x v="4"/>
    <x v="0"/>
    <x v="0"/>
    <n v="1"/>
    <n v="1800"/>
    <n v="0"/>
    <n v="1800"/>
    <n v="1100"/>
    <n v="700"/>
    <x v="3"/>
    <x v="0"/>
    <x v="5"/>
    <b v="1"/>
  </r>
  <r>
    <s v="ORD0022"/>
    <x v="20"/>
    <s v="C018"/>
    <x v="2"/>
    <x v="7"/>
    <x v="0"/>
    <x v="0"/>
    <x v="0"/>
    <n v="5"/>
    <n v="5000"/>
    <n v="0"/>
    <n v="25000"/>
    <n v="17500"/>
    <n v="7500"/>
    <x v="0"/>
    <x v="0"/>
    <x v="1"/>
    <b v="1"/>
  </r>
  <r>
    <s v="ORD0023"/>
    <x v="21"/>
    <s v="C002"/>
    <x v="11"/>
    <x v="6"/>
    <x v="2"/>
    <x v="1"/>
    <x v="11"/>
    <n v="3"/>
    <n v="6000"/>
    <n v="0"/>
    <n v="18000"/>
    <n v="12600"/>
    <n v="5400"/>
    <x v="3"/>
    <x v="1"/>
    <x v="4"/>
    <b v="1"/>
  </r>
  <r>
    <s v="ORD0024"/>
    <x v="22"/>
    <s v="C018"/>
    <x v="2"/>
    <x v="5"/>
    <x v="0"/>
    <x v="2"/>
    <x v="7"/>
    <n v="5"/>
    <n v="2500"/>
    <n v="0.1"/>
    <n v="11250"/>
    <n v="8500"/>
    <n v="2750"/>
    <x v="1"/>
    <x v="0"/>
    <x v="9"/>
    <b v="1"/>
  </r>
  <r>
    <s v="ORD0025"/>
    <x v="23"/>
    <s v="C004"/>
    <x v="0"/>
    <x v="9"/>
    <x v="3"/>
    <x v="3"/>
    <x v="6"/>
    <n v="4"/>
    <n v="1800"/>
    <n v="0.1"/>
    <n v="6480"/>
    <n v="4400"/>
    <n v="2080"/>
    <x v="1"/>
    <x v="0"/>
    <x v="4"/>
    <b v="1"/>
  </r>
  <r>
    <s v="ORD0026"/>
    <x v="24"/>
    <s v="C004"/>
    <x v="0"/>
    <x v="0"/>
    <x v="0"/>
    <x v="3"/>
    <x v="3"/>
    <n v="4"/>
    <n v="55000"/>
    <n v="0"/>
    <n v="220000"/>
    <n v="180000"/>
    <n v="40000"/>
    <x v="2"/>
    <x v="0"/>
    <x v="2"/>
    <b v="1"/>
  </r>
  <r>
    <s v="ORD0027"/>
    <x v="25"/>
    <s v="C015"/>
    <x v="12"/>
    <x v="5"/>
    <x v="0"/>
    <x v="0"/>
    <x v="9"/>
    <n v="4"/>
    <n v="2500"/>
    <n v="0.1"/>
    <n v="9000"/>
    <n v="6800"/>
    <n v="2200"/>
    <x v="2"/>
    <x v="0"/>
    <x v="1"/>
    <b v="1"/>
  </r>
  <r>
    <s v="ORD0028"/>
    <x v="26"/>
    <s v="C018"/>
    <x v="2"/>
    <x v="12"/>
    <x v="0"/>
    <x v="1"/>
    <x v="1"/>
    <n v="1"/>
    <n v="25000"/>
    <n v="0"/>
    <n v="25000"/>
    <n v="20500"/>
    <n v="4500"/>
    <x v="2"/>
    <x v="1"/>
    <x v="5"/>
    <b v="1"/>
  </r>
  <r>
    <s v="ORD0029"/>
    <x v="27"/>
    <s v="C016"/>
    <x v="9"/>
    <x v="7"/>
    <x v="0"/>
    <x v="1"/>
    <x v="1"/>
    <n v="4"/>
    <n v="5000"/>
    <n v="0.1"/>
    <n v="18000"/>
    <n v="14000"/>
    <n v="4000"/>
    <x v="0"/>
    <x v="1"/>
    <x v="8"/>
    <b v="1"/>
  </r>
  <r>
    <s v="ORD0030"/>
    <x v="28"/>
    <s v="C015"/>
    <x v="12"/>
    <x v="3"/>
    <x v="1"/>
    <x v="2"/>
    <x v="7"/>
    <n v="4"/>
    <n v="8000"/>
    <n v="0"/>
    <n v="32000"/>
    <n v="22400"/>
    <n v="9600"/>
    <x v="3"/>
    <x v="0"/>
    <x v="10"/>
    <b v="1"/>
  </r>
  <r>
    <s v="ORD0031"/>
    <x v="29"/>
    <s v="C019"/>
    <x v="13"/>
    <x v="8"/>
    <x v="2"/>
    <x v="1"/>
    <x v="11"/>
    <n v="5"/>
    <n v="4500"/>
    <n v="0.05"/>
    <n v="21375"/>
    <n v="15500"/>
    <n v="5875"/>
    <x v="0"/>
    <x v="0"/>
    <x v="6"/>
    <b v="1"/>
  </r>
  <r>
    <s v="ORD0032"/>
    <x v="30"/>
    <s v="C016"/>
    <x v="9"/>
    <x v="13"/>
    <x v="3"/>
    <x v="0"/>
    <x v="0"/>
    <n v="5"/>
    <n v="3000"/>
    <n v="0.15"/>
    <n v="12750"/>
    <n v="9500"/>
    <n v="3250"/>
    <x v="0"/>
    <x v="0"/>
    <x v="1"/>
    <b v="1"/>
  </r>
  <r>
    <s v="ORD0033"/>
    <x v="31"/>
    <s v="C020"/>
    <x v="10"/>
    <x v="12"/>
    <x v="0"/>
    <x v="2"/>
    <x v="7"/>
    <n v="2"/>
    <n v="25000"/>
    <n v="0.15"/>
    <n v="42500"/>
    <n v="41000"/>
    <n v="1500"/>
    <x v="2"/>
    <x v="0"/>
    <x v="4"/>
    <b v="1"/>
  </r>
  <r>
    <s v="ORD0034"/>
    <x v="32"/>
    <s v="C003"/>
    <x v="14"/>
    <x v="1"/>
    <x v="1"/>
    <x v="3"/>
    <x v="6"/>
    <n v="5"/>
    <n v="7000"/>
    <n v="0"/>
    <n v="35000"/>
    <n v="24000"/>
    <n v="11000"/>
    <x v="3"/>
    <x v="0"/>
    <x v="0"/>
    <b v="1"/>
  </r>
  <r>
    <s v="ORD0035"/>
    <x v="28"/>
    <s v="C013"/>
    <x v="15"/>
    <x v="5"/>
    <x v="0"/>
    <x v="2"/>
    <x v="5"/>
    <n v="3"/>
    <n v="2500"/>
    <n v="0"/>
    <n v="7500"/>
    <n v="5100"/>
    <n v="2400"/>
    <x v="0"/>
    <x v="1"/>
    <x v="10"/>
    <b v="1"/>
  </r>
  <r>
    <s v="ORD0036"/>
    <x v="33"/>
    <s v="C019"/>
    <x v="13"/>
    <x v="12"/>
    <x v="0"/>
    <x v="0"/>
    <x v="10"/>
    <n v="1"/>
    <n v="25000"/>
    <n v="0.05"/>
    <n v="23750"/>
    <n v="20500"/>
    <n v="3250"/>
    <x v="2"/>
    <x v="1"/>
    <x v="0"/>
    <b v="1"/>
  </r>
  <r>
    <s v="ORD0037"/>
    <x v="31"/>
    <s v="C008"/>
    <x v="3"/>
    <x v="2"/>
    <x v="1"/>
    <x v="0"/>
    <x v="9"/>
    <n v="3"/>
    <n v="12000"/>
    <n v="0.15"/>
    <n v="30600"/>
    <n v="25500"/>
    <n v="5100"/>
    <x v="3"/>
    <x v="0"/>
    <x v="4"/>
    <b v="1"/>
  </r>
  <r>
    <s v="ORD0038"/>
    <x v="34"/>
    <s v="C018"/>
    <x v="2"/>
    <x v="3"/>
    <x v="1"/>
    <x v="0"/>
    <x v="9"/>
    <n v="1"/>
    <n v="8000"/>
    <n v="0"/>
    <n v="8000"/>
    <n v="5600"/>
    <n v="2400"/>
    <x v="0"/>
    <x v="0"/>
    <x v="2"/>
    <b v="1"/>
  </r>
  <r>
    <s v="ORD0039"/>
    <x v="35"/>
    <s v="C010"/>
    <x v="16"/>
    <x v="11"/>
    <x v="3"/>
    <x v="3"/>
    <x v="3"/>
    <n v="2"/>
    <n v="900"/>
    <n v="0.05"/>
    <n v="1710"/>
    <n v="1000"/>
    <n v="710"/>
    <x v="1"/>
    <x v="1"/>
    <x v="10"/>
    <b v="1"/>
  </r>
  <r>
    <s v="ORD0040"/>
    <x v="36"/>
    <s v="C003"/>
    <x v="14"/>
    <x v="9"/>
    <x v="3"/>
    <x v="3"/>
    <x v="3"/>
    <n v="4"/>
    <n v="1800"/>
    <n v="0"/>
    <n v="7200"/>
    <n v="4400"/>
    <n v="2800"/>
    <x v="3"/>
    <x v="0"/>
    <x v="6"/>
    <b v="1"/>
  </r>
  <r>
    <s v="ORD0041"/>
    <x v="37"/>
    <s v="C009"/>
    <x v="17"/>
    <x v="5"/>
    <x v="0"/>
    <x v="2"/>
    <x v="2"/>
    <n v="4"/>
    <n v="2500"/>
    <n v="0"/>
    <n v="10000"/>
    <n v="6800"/>
    <n v="3200"/>
    <x v="0"/>
    <x v="0"/>
    <x v="0"/>
    <b v="1"/>
  </r>
  <r>
    <s v="ORD0042"/>
    <x v="38"/>
    <s v="C005"/>
    <x v="18"/>
    <x v="13"/>
    <x v="3"/>
    <x v="3"/>
    <x v="4"/>
    <n v="1"/>
    <n v="3000"/>
    <n v="0.15"/>
    <n v="2550"/>
    <n v="1900"/>
    <n v="650"/>
    <x v="2"/>
    <x v="1"/>
    <x v="2"/>
    <b v="1"/>
  </r>
  <r>
    <s v="ORD0043"/>
    <x v="39"/>
    <s v="C002"/>
    <x v="11"/>
    <x v="3"/>
    <x v="1"/>
    <x v="1"/>
    <x v="8"/>
    <n v="3"/>
    <n v="8000"/>
    <n v="0"/>
    <n v="24000"/>
    <n v="16800"/>
    <n v="7200"/>
    <x v="2"/>
    <x v="0"/>
    <x v="7"/>
    <b v="1"/>
  </r>
  <r>
    <s v="ORD0044"/>
    <x v="40"/>
    <s v="C018"/>
    <x v="2"/>
    <x v="6"/>
    <x v="2"/>
    <x v="0"/>
    <x v="0"/>
    <n v="4"/>
    <n v="6000"/>
    <n v="0"/>
    <n v="24000"/>
    <n v="16800"/>
    <n v="7200"/>
    <x v="2"/>
    <x v="1"/>
    <x v="3"/>
    <b v="1"/>
  </r>
  <r>
    <s v="ORD0045"/>
    <x v="41"/>
    <s v="C006"/>
    <x v="6"/>
    <x v="8"/>
    <x v="2"/>
    <x v="2"/>
    <x v="2"/>
    <n v="3"/>
    <n v="4500"/>
    <n v="0"/>
    <n v="13500"/>
    <n v="9300"/>
    <n v="4200"/>
    <x v="3"/>
    <x v="0"/>
    <x v="6"/>
    <b v="1"/>
  </r>
  <r>
    <s v="ORD0046"/>
    <x v="42"/>
    <s v="C004"/>
    <x v="0"/>
    <x v="1"/>
    <x v="1"/>
    <x v="2"/>
    <x v="7"/>
    <n v="1"/>
    <n v="7000"/>
    <n v="0"/>
    <n v="7000"/>
    <n v="4800"/>
    <n v="2200"/>
    <x v="1"/>
    <x v="1"/>
    <x v="2"/>
    <b v="1"/>
  </r>
  <r>
    <s v="ORD0047"/>
    <x v="43"/>
    <s v="C008"/>
    <x v="3"/>
    <x v="7"/>
    <x v="0"/>
    <x v="0"/>
    <x v="9"/>
    <n v="1"/>
    <n v="5000"/>
    <n v="0.05"/>
    <n v="4750"/>
    <n v="3500"/>
    <n v="1250"/>
    <x v="3"/>
    <x v="0"/>
    <x v="11"/>
    <b v="1"/>
  </r>
  <r>
    <s v="ORD0048"/>
    <x v="44"/>
    <s v="C012"/>
    <x v="4"/>
    <x v="9"/>
    <x v="3"/>
    <x v="2"/>
    <x v="2"/>
    <n v="5"/>
    <n v="1800"/>
    <n v="0.15"/>
    <n v="7650"/>
    <n v="5500"/>
    <n v="2150"/>
    <x v="3"/>
    <x v="0"/>
    <x v="10"/>
    <b v="1"/>
  </r>
  <r>
    <s v="ORD0049"/>
    <x v="45"/>
    <s v="C009"/>
    <x v="17"/>
    <x v="5"/>
    <x v="0"/>
    <x v="3"/>
    <x v="3"/>
    <n v="5"/>
    <n v="2500"/>
    <n v="0"/>
    <n v="12500"/>
    <n v="8500"/>
    <n v="4000"/>
    <x v="1"/>
    <x v="1"/>
    <x v="7"/>
    <b v="1"/>
  </r>
  <r>
    <s v="ORD0050"/>
    <x v="46"/>
    <s v="C014"/>
    <x v="1"/>
    <x v="11"/>
    <x v="3"/>
    <x v="1"/>
    <x v="8"/>
    <n v="5"/>
    <n v="900"/>
    <n v="0.15"/>
    <n v="3825"/>
    <n v="2500"/>
    <n v="1325"/>
    <x v="2"/>
    <x v="1"/>
    <x v="11"/>
    <b v="1"/>
  </r>
  <r>
    <s v="ORD0051"/>
    <x v="47"/>
    <s v="C014"/>
    <x v="1"/>
    <x v="0"/>
    <x v="0"/>
    <x v="0"/>
    <x v="9"/>
    <n v="5"/>
    <n v="55000"/>
    <n v="0.1"/>
    <n v="247500"/>
    <n v="225000"/>
    <n v="22500"/>
    <x v="0"/>
    <x v="1"/>
    <x v="6"/>
    <b v="1"/>
  </r>
  <r>
    <s v="ORD0052"/>
    <x v="48"/>
    <s v="C011"/>
    <x v="5"/>
    <x v="9"/>
    <x v="3"/>
    <x v="3"/>
    <x v="4"/>
    <n v="1"/>
    <n v="1800"/>
    <n v="0.05"/>
    <n v="1710"/>
    <n v="1100"/>
    <n v="610"/>
    <x v="1"/>
    <x v="1"/>
    <x v="0"/>
    <b v="1"/>
  </r>
  <r>
    <s v="ORD0053"/>
    <x v="49"/>
    <s v="C010"/>
    <x v="16"/>
    <x v="13"/>
    <x v="3"/>
    <x v="0"/>
    <x v="9"/>
    <n v="2"/>
    <n v="3000"/>
    <n v="0.1"/>
    <n v="5400"/>
    <n v="3800"/>
    <n v="1600"/>
    <x v="2"/>
    <x v="1"/>
    <x v="3"/>
    <b v="1"/>
  </r>
  <r>
    <s v="ORD0054"/>
    <x v="50"/>
    <s v="C018"/>
    <x v="2"/>
    <x v="6"/>
    <x v="2"/>
    <x v="3"/>
    <x v="6"/>
    <n v="1"/>
    <n v="6000"/>
    <n v="0"/>
    <n v="6000"/>
    <n v="4200"/>
    <n v="1800"/>
    <x v="1"/>
    <x v="1"/>
    <x v="3"/>
    <b v="1"/>
  </r>
  <r>
    <s v="ORD0055"/>
    <x v="51"/>
    <s v="C015"/>
    <x v="12"/>
    <x v="10"/>
    <x v="4"/>
    <x v="2"/>
    <x v="2"/>
    <n v="2"/>
    <n v="1800"/>
    <n v="0"/>
    <n v="3600"/>
    <n v="2200"/>
    <n v="1400"/>
    <x v="0"/>
    <x v="1"/>
    <x v="5"/>
    <b v="1"/>
  </r>
  <r>
    <s v="ORD0056"/>
    <x v="52"/>
    <s v="C020"/>
    <x v="10"/>
    <x v="2"/>
    <x v="1"/>
    <x v="0"/>
    <x v="10"/>
    <n v="1"/>
    <n v="12000"/>
    <n v="0.05"/>
    <n v="11400"/>
    <n v="8500"/>
    <n v="2900"/>
    <x v="2"/>
    <x v="0"/>
    <x v="8"/>
    <b v="1"/>
  </r>
  <r>
    <s v="ORD0057"/>
    <x v="53"/>
    <s v="C001"/>
    <x v="7"/>
    <x v="0"/>
    <x v="0"/>
    <x v="2"/>
    <x v="2"/>
    <n v="2"/>
    <n v="55000"/>
    <n v="0"/>
    <n v="110000"/>
    <n v="90000"/>
    <n v="20000"/>
    <x v="1"/>
    <x v="1"/>
    <x v="7"/>
    <b v="1"/>
  </r>
  <r>
    <s v="ORD0058"/>
    <x v="54"/>
    <s v="C019"/>
    <x v="13"/>
    <x v="7"/>
    <x v="0"/>
    <x v="2"/>
    <x v="5"/>
    <n v="4"/>
    <n v="5000"/>
    <n v="0"/>
    <n v="20000"/>
    <n v="14000"/>
    <n v="6000"/>
    <x v="2"/>
    <x v="0"/>
    <x v="0"/>
    <b v="1"/>
  </r>
  <r>
    <s v="ORD0059"/>
    <x v="55"/>
    <s v="C014"/>
    <x v="1"/>
    <x v="7"/>
    <x v="0"/>
    <x v="2"/>
    <x v="7"/>
    <n v="2"/>
    <n v="5000"/>
    <n v="0.15"/>
    <n v="8500"/>
    <n v="7000"/>
    <n v="1500"/>
    <x v="2"/>
    <x v="0"/>
    <x v="4"/>
    <b v="1"/>
  </r>
  <r>
    <s v="ORD0060"/>
    <x v="56"/>
    <s v="C005"/>
    <x v="18"/>
    <x v="4"/>
    <x v="2"/>
    <x v="3"/>
    <x v="6"/>
    <n v="4"/>
    <n v="3500"/>
    <n v="0.15"/>
    <n v="11900"/>
    <n v="9600"/>
    <n v="2300"/>
    <x v="1"/>
    <x v="1"/>
    <x v="5"/>
    <b v="1"/>
  </r>
  <r>
    <s v="ORD0061"/>
    <x v="57"/>
    <s v="C016"/>
    <x v="9"/>
    <x v="10"/>
    <x v="4"/>
    <x v="0"/>
    <x v="10"/>
    <n v="3"/>
    <n v="1800"/>
    <n v="0.05"/>
    <n v="5130"/>
    <n v="3300"/>
    <n v="1830"/>
    <x v="1"/>
    <x v="0"/>
    <x v="7"/>
    <b v="1"/>
  </r>
  <r>
    <s v="ORD0062"/>
    <x v="58"/>
    <s v="C015"/>
    <x v="12"/>
    <x v="12"/>
    <x v="0"/>
    <x v="0"/>
    <x v="9"/>
    <n v="3"/>
    <n v="25000"/>
    <n v="0.05"/>
    <n v="71250"/>
    <n v="61500"/>
    <n v="9750"/>
    <x v="3"/>
    <x v="0"/>
    <x v="10"/>
    <b v="1"/>
  </r>
  <r>
    <s v="ORD0063"/>
    <x v="59"/>
    <s v="C005"/>
    <x v="18"/>
    <x v="7"/>
    <x v="0"/>
    <x v="0"/>
    <x v="10"/>
    <n v="4"/>
    <n v="5000"/>
    <n v="0"/>
    <n v="20000"/>
    <n v="14000"/>
    <n v="6000"/>
    <x v="0"/>
    <x v="1"/>
    <x v="7"/>
    <b v="1"/>
  </r>
  <r>
    <s v="ORD0064"/>
    <x v="60"/>
    <s v="C011"/>
    <x v="5"/>
    <x v="13"/>
    <x v="3"/>
    <x v="2"/>
    <x v="7"/>
    <n v="4"/>
    <n v="3000"/>
    <n v="0"/>
    <n v="12000"/>
    <n v="7600"/>
    <n v="4400"/>
    <x v="1"/>
    <x v="1"/>
    <x v="3"/>
    <b v="1"/>
  </r>
  <r>
    <s v="ORD0065"/>
    <x v="30"/>
    <s v="C001"/>
    <x v="7"/>
    <x v="6"/>
    <x v="2"/>
    <x v="2"/>
    <x v="5"/>
    <n v="5"/>
    <n v="6000"/>
    <n v="0"/>
    <n v="30000"/>
    <n v="21000"/>
    <n v="9000"/>
    <x v="3"/>
    <x v="1"/>
    <x v="1"/>
    <b v="1"/>
  </r>
  <r>
    <s v="ORD0066"/>
    <x v="61"/>
    <s v="C014"/>
    <x v="1"/>
    <x v="13"/>
    <x v="3"/>
    <x v="0"/>
    <x v="9"/>
    <n v="5"/>
    <n v="3000"/>
    <n v="0"/>
    <n v="15000"/>
    <n v="9500"/>
    <n v="5500"/>
    <x v="3"/>
    <x v="1"/>
    <x v="3"/>
    <b v="1"/>
  </r>
  <r>
    <s v="ORD0067"/>
    <x v="27"/>
    <s v="C001"/>
    <x v="7"/>
    <x v="1"/>
    <x v="1"/>
    <x v="2"/>
    <x v="2"/>
    <n v="3"/>
    <n v="7000"/>
    <n v="0"/>
    <n v="21000"/>
    <n v="14400"/>
    <n v="6600"/>
    <x v="1"/>
    <x v="0"/>
    <x v="8"/>
    <b v="1"/>
  </r>
  <r>
    <s v="ORD0068"/>
    <x v="33"/>
    <s v="C018"/>
    <x v="2"/>
    <x v="0"/>
    <x v="0"/>
    <x v="1"/>
    <x v="1"/>
    <n v="4"/>
    <n v="55000"/>
    <n v="0.1"/>
    <n v="198000"/>
    <n v="180000"/>
    <n v="18000"/>
    <x v="2"/>
    <x v="1"/>
    <x v="0"/>
    <b v="1"/>
  </r>
  <r>
    <s v="ORD0069"/>
    <x v="62"/>
    <s v="C002"/>
    <x v="11"/>
    <x v="3"/>
    <x v="1"/>
    <x v="3"/>
    <x v="3"/>
    <n v="4"/>
    <n v="8000"/>
    <n v="0.1"/>
    <n v="28800"/>
    <n v="22400"/>
    <n v="6400"/>
    <x v="3"/>
    <x v="1"/>
    <x v="9"/>
    <b v="1"/>
  </r>
  <r>
    <s v="ORD0070"/>
    <x v="4"/>
    <s v="C009"/>
    <x v="17"/>
    <x v="4"/>
    <x v="2"/>
    <x v="3"/>
    <x v="3"/>
    <n v="4"/>
    <n v="3500"/>
    <n v="0.1"/>
    <n v="12600"/>
    <n v="9600"/>
    <n v="3000"/>
    <x v="0"/>
    <x v="0"/>
    <x v="3"/>
    <b v="1"/>
  </r>
  <r>
    <s v="ORD0071"/>
    <x v="63"/>
    <s v="C008"/>
    <x v="3"/>
    <x v="9"/>
    <x v="3"/>
    <x v="1"/>
    <x v="1"/>
    <n v="1"/>
    <n v="1800"/>
    <n v="0"/>
    <n v="1800"/>
    <n v="1100"/>
    <n v="700"/>
    <x v="2"/>
    <x v="0"/>
    <x v="11"/>
    <b v="1"/>
  </r>
  <r>
    <s v="ORD0072"/>
    <x v="33"/>
    <s v="C005"/>
    <x v="18"/>
    <x v="7"/>
    <x v="0"/>
    <x v="2"/>
    <x v="2"/>
    <n v="2"/>
    <n v="5000"/>
    <n v="0"/>
    <n v="10000"/>
    <n v="7000"/>
    <n v="3000"/>
    <x v="2"/>
    <x v="1"/>
    <x v="0"/>
    <b v="1"/>
  </r>
  <r>
    <s v="ORD0073"/>
    <x v="64"/>
    <s v="C009"/>
    <x v="17"/>
    <x v="4"/>
    <x v="2"/>
    <x v="0"/>
    <x v="10"/>
    <n v="3"/>
    <n v="3500"/>
    <n v="0.15"/>
    <n v="8925"/>
    <n v="7200"/>
    <n v="1725"/>
    <x v="0"/>
    <x v="0"/>
    <x v="2"/>
    <b v="1"/>
  </r>
  <r>
    <s v="ORD0074"/>
    <x v="65"/>
    <s v="C004"/>
    <x v="0"/>
    <x v="11"/>
    <x v="3"/>
    <x v="3"/>
    <x v="4"/>
    <n v="1"/>
    <n v="900"/>
    <n v="0.1"/>
    <n v="810"/>
    <n v="500"/>
    <n v="310"/>
    <x v="1"/>
    <x v="0"/>
    <x v="11"/>
    <b v="1"/>
  </r>
  <r>
    <s v="ORD0075"/>
    <x v="66"/>
    <s v="C019"/>
    <x v="13"/>
    <x v="8"/>
    <x v="2"/>
    <x v="1"/>
    <x v="11"/>
    <n v="2"/>
    <n v="4500"/>
    <n v="0.05"/>
    <n v="8550"/>
    <n v="6200"/>
    <n v="2350"/>
    <x v="0"/>
    <x v="0"/>
    <x v="4"/>
    <b v="1"/>
  </r>
  <r>
    <s v="ORD0076"/>
    <x v="67"/>
    <s v="C018"/>
    <x v="2"/>
    <x v="1"/>
    <x v="1"/>
    <x v="1"/>
    <x v="11"/>
    <n v="3"/>
    <n v="7000"/>
    <n v="0.05"/>
    <n v="19950"/>
    <n v="14400"/>
    <n v="5550"/>
    <x v="0"/>
    <x v="1"/>
    <x v="11"/>
    <b v="1"/>
  </r>
  <r>
    <s v="ORD0077"/>
    <x v="16"/>
    <s v="C004"/>
    <x v="0"/>
    <x v="1"/>
    <x v="1"/>
    <x v="2"/>
    <x v="2"/>
    <n v="3"/>
    <n v="7000"/>
    <n v="0"/>
    <n v="21000"/>
    <n v="14400"/>
    <n v="6600"/>
    <x v="1"/>
    <x v="0"/>
    <x v="8"/>
    <b v="1"/>
  </r>
  <r>
    <s v="ORD0078"/>
    <x v="68"/>
    <s v="C009"/>
    <x v="17"/>
    <x v="11"/>
    <x v="3"/>
    <x v="2"/>
    <x v="5"/>
    <n v="5"/>
    <n v="900"/>
    <n v="0.1"/>
    <n v="4050"/>
    <n v="2500"/>
    <n v="1550"/>
    <x v="3"/>
    <x v="1"/>
    <x v="8"/>
    <b v="1"/>
  </r>
  <r>
    <s v="ORD0079"/>
    <x v="69"/>
    <s v="C003"/>
    <x v="14"/>
    <x v="3"/>
    <x v="1"/>
    <x v="0"/>
    <x v="9"/>
    <n v="4"/>
    <n v="8000"/>
    <n v="0.15"/>
    <n v="27200"/>
    <n v="22400"/>
    <n v="4800"/>
    <x v="1"/>
    <x v="1"/>
    <x v="10"/>
    <b v="1"/>
  </r>
  <r>
    <s v="ORD0080"/>
    <x v="70"/>
    <s v="C016"/>
    <x v="9"/>
    <x v="6"/>
    <x v="2"/>
    <x v="0"/>
    <x v="9"/>
    <n v="3"/>
    <n v="6000"/>
    <n v="0"/>
    <n v="18000"/>
    <n v="12600"/>
    <n v="5400"/>
    <x v="3"/>
    <x v="1"/>
    <x v="6"/>
    <b v="1"/>
  </r>
  <r>
    <s v="ORD0081"/>
    <x v="71"/>
    <s v="C009"/>
    <x v="17"/>
    <x v="11"/>
    <x v="3"/>
    <x v="1"/>
    <x v="11"/>
    <n v="3"/>
    <n v="900"/>
    <n v="0"/>
    <n v="2700"/>
    <n v="1500"/>
    <n v="1200"/>
    <x v="0"/>
    <x v="0"/>
    <x v="11"/>
    <b v="1"/>
  </r>
  <r>
    <s v="ORD0082"/>
    <x v="60"/>
    <s v="C016"/>
    <x v="9"/>
    <x v="13"/>
    <x v="3"/>
    <x v="2"/>
    <x v="2"/>
    <n v="2"/>
    <n v="3000"/>
    <n v="0.1"/>
    <n v="5400"/>
    <n v="3800"/>
    <n v="1600"/>
    <x v="1"/>
    <x v="0"/>
    <x v="3"/>
    <b v="1"/>
  </r>
  <r>
    <s v="ORD0083"/>
    <x v="72"/>
    <s v="C010"/>
    <x v="16"/>
    <x v="7"/>
    <x v="0"/>
    <x v="0"/>
    <x v="9"/>
    <n v="4"/>
    <n v="5000"/>
    <n v="0.15"/>
    <n v="17000"/>
    <n v="14000"/>
    <n v="3000"/>
    <x v="3"/>
    <x v="1"/>
    <x v="4"/>
    <b v="1"/>
  </r>
  <r>
    <s v="ORD0084"/>
    <x v="14"/>
    <s v="C017"/>
    <x v="8"/>
    <x v="2"/>
    <x v="1"/>
    <x v="3"/>
    <x v="6"/>
    <n v="4"/>
    <n v="12000"/>
    <n v="0.1"/>
    <n v="43200"/>
    <n v="34000"/>
    <n v="9200"/>
    <x v="3"/>
    <x v="1"/>
    <x v="1"/>
    <b v="1"/>
  </r>
  <r>
    <s v="ORD0085"/>
    <x v="73"/>
    <s v="C008"/>
    <x v="3"/>
    <x v="12"/>
    <x v="0"/>
    <x v="3"/>
    <x v="3"/>
    <n v="2"/>
    <n v="25000"/>
    <n v="0.15"/>
    <n v="42500"/>
    <n v="41000"/>
    <n v="1500"/>
    <x v="2"/>
    <x v="0"/>
    <x v="10"/>
    <b v="1"/>
  </r>
  <r>
    <s v="ORD0086"/>
    <x v="74"/>
    <s v="C016"/>
    <x v="9"/>
    <x v="3"/>
    <x v="1"/>
    <x v="3"/>
    <x v="3"/>
    <n v="5"/>
    <n v="8000"/>
    <n v="0"/>
    <n v="40000"/>
    <n v="28000"/>
    <n v="12000"/>
    <x v="3"/>
    <x v="0"/>
    <x v="9"/>
    <b v="1"/>
  </r>
  <r>
    <s v="ORD0087"/>
    <x v="75"/>
    <s v="C006"/>
    <x v="6"/>
    <x v="3"/>
    <x v="1"/>
    <x v="0"/>
    <x v="9"/>
    <n v="1"/>
    <n v="8000"/>
    <n v="0"/>
    <n v="8000"/>
    <n v="5600"/>
    <n v="2400"/>
    <x v="0"/>
    <x v="1"/>
    <x v="3"/>
    <b v="1"/>
  </r>
  <r>
    <s v="ORD0088"/>
    <x v="3"/>
    <s v="C005"/>
    <x v="18"/>
    <x v="9"/>
    <x v="3"/>
    <x v="1"/>
    <x v="1"/>
    <n v="4"/>
    <n v="1800"/>
    <n v="0.15"/>
    <n v="6120"/>
    <n v="4400"/>
    <n v="1720"/>
    <x v="3"/>
    <x v="1"/>
    <x v="2"/>
    <b v="1"/>
  </r>
  <r>
    <s v="ORD0089"/>
    <x v="76"/>
    <s v="C015"/>
    <x v="12"/>
    <x v="2"/>
    <x v="1"/>
    <x v="1"/>
    <x v="8"/>
    <n v="2"/>
    <n v="12000"/>
    <n v="0.1"/>
    <n v="21600"/>
    <n v="17000"/>
    <n v="4600"/>
    <x v="0"/>
    <x v="0"/>
    <x v="8"/>
    <b v="1"/>
  </r>
  <r>
    <s v="ORD0090"/>
    <x v="77"/>
    <s v="C016"/>
    <x v="9"/>
    <x v="12"/>
    <x v="0"/>
    <x v="1"/>
    <x v="1"/>
    <n v="5"/>
    <n v="25000"/>
    <n v="0"/>
    <n v="125000"/>
    <n v="102500"/>
    <n v="22500"/>
    <x v="3"/>
    <x v="0"/>
    <x v="3"/>
    <b v="1"/>
  </r>
  <r>
    <s v="ORD0091"/>
    <x v="78"/>
    <s v="C004"/>
    <x v="0"/>
    <x v="13"/>
    <x v="3"/>
    <x v="0"/>
    <x v="10"/>
    <n v="4"/>
    <n v="3000"/>
    <n v="0.1"/>
    <n v="10800"/>
    <n v="7600"/>
    <n v="3200"/>
    <x v="1"/>
    <x v="1"/>
    <x v="10"/>
    <b v="1"/>
  </r>
  <r>
    <s v="ORD0092"/>
    <x v="79"/>
    <s v="C019"/>
    <x v="13"/>
    <x v="1"/>
    <x v="1"/>
    <x v="1"/>
    <x v="11"/>
    <n v="3"/>
    <n v="7000"/>
    <n v="0"/>
    <n v="21000"/>
    <n v="14400"/>
    <n v="6600"/>
    <x v="2"/>
    <x v="0"/>
    <x v="11"/>
    <b v="1"/>
  </r>
  <r>
    <s v="ORD0093"/>
    <x v="28"/>
    <s v="C003"/>
    <x v="14"/>
    <x v="5"/>
    <x v="0"/>
    <x v="0"/>
    <x v="10"/>
    <n v="2"/>
    <n v="2500"/>
    <n v="0"/>
    <n v="5000"/>
    <n v="3400"/>
    <n v="1600"/>
    <x v="2"/>
    <x v="0"/>
    <x v="10"/>
    <b v="1"/>
  </r>
  <r>
    <s v="ORD0094"/>
    <x v="80"/>
    <s v="C015"/>
    <x v="12"/>
    <x v="8"/>
    <x v="2"/>
    <x v="2"/>
    <x v="5"/>
    <n v="5"/>
    <n v="4500"/>
    <n v="0"/>
    <n v="22500"/>
    <n v="15500"/>
    <n v="7000"/>
    <x v="2"/>
    <x v="1"/>
    <x v="3"/>
    <b v="1"/>
  </r>
  <r>
    <s v="ORD0095"/>
    <x v="81"/>
    <s v="C010"/>
    <x v="16"/>
    <x v="8"/>
    <x v="2"/>
    <x v="1"/>
    <x v="11"/>
    <n v="4"/>
    <n v="4500"/>
    <n v="0"/>
    <n v="18000"/>
    <n v="12400"/>
    <n v="5600"/>
    <x v="3"/>
    <x v="0"/>
    <x v="2"/>
    <b v="1"/>
  </r>
  <r>
    <s v="ORD0096"/>
    <x v="82"/>
    <s v="C004"/>
    <x v="0"/>
    <x v="13"/>
    <x v="3"/>
    <x v="0"/>
    <x v="9"/>
    <n v="2"/>
    <n v="3000"/>
    <n v="0"/>
    <n v="6000"/>
    <n v="3800"/>
    <n v="2200"/>
    <x v="0"/>
    <x v="0"/>
    <x v="5"/>
    <b v="1"/>
  </r>
  <r>
    <s v="ORD0097"/>
    <x v="83"/>
    <s v="C010"/>
    <x v="16"/>
    <x v="11"/>
    <x v="3"/>
    <x v="3"/>
    <x v="6"/>
    <n v="5"/>
    <n v="900"/>
    <n v="0"/>
    <n v="4500"/>
    <n v="2500"/>
    <n v="2000"/>
    <x v="1"/>
    <x v="1"/>
    <x v="7"/>
    <b v="1"/>
  </r>
  <r>
    <s v="ORD0098"/>
    <x v="64"/>
    <s v="C013"/>
    <x v="15"/>
    <x v="3"/>
    <x v="1"/>
    <x v="2"/>
    <x v="5"/>
    <n v="5"/>
    <n v="8000"/>
    <n v="0"/>
    <n v="40000"/>
    <n v="28000"/>
    <n v="12000"/>
    <x v="0"/>
    <x v="1"/>
    <x v="2"/>
    <b v="1"/>
  </r>
  <r>
    <s v="ORD0099"/>
    <x v="84"/>
    <s v="C020"/>
    <x v="10"/>
    <x v="3"/>
    <x v="1"/>
    <x v="1"/>
    <x v="1"/>
    <n v="1"/>
    <n v="8000"/>
    <n v="0.15"/>
    <n v="6800"/>
    <n v="5600"/>
    <n v="1200"/>
    <x v="0"/>
    <x v="1"/>
    <x v="11"/>
    <b v="1"/>
  </r>
  <r>
    <s v="ORD0100"/>
    <x v="85"/>
    <s v="C002"/>
    <x v="11"/>
    <x v="4"/>
    <x v="2"/>
    <x v="2"/>
    <x v="2"/>
    <n v="2"/>
    <n v="3500"/>
    <n v="0.1"/>
    <n v="6300"/>
    <n v="4800"/>
    <n v="1500"/>
    <x v="3"/>
    <x v="0"/>
    <x v="1"/>
    <b v="1"/>
  </r>
  <r>
    <s v="ORD0101"/>
    <x v="30"/>
    <s v="C014"/>
    <x v="1"/>
    <x v="9"/>
    <x v="3"/>
    <x v="1"/>
    <x v="8"/>
    <n v="4"/>
    <n v="1800"/>
    <n v="0.05"/>
    <n v="6840"/>
    <n v="4400"/>
    <n v="2440"/>
    <x v="1"/>
    <x v="1"/>
    <x v="1"/>
    <b v="1"/>
  </r>
  <r>
    <s v="ORD0102"/>
    <x v="86"/>
    <s v="C004"/>
    <x v="0"/>
    <x v="6"/>
    <x v="2"/>
    <x v="3"/>
    <x v="6"/>
    <n v="2"/>
    <n v="6000"/>
    <n v="0.1"/>
    <n v="10800"/>
    <n v="8400"/>
    <n v="2400"/>
    <x v="3"/>
    <x v="1"/>
    <x v="11"/>
    <b v="1"/>
  </r>
  <r>
    <s v="ORD0103"/>
    <x v="87"/>
    <s v="C002"/>
    <x v="11"/>
    <x v="10"/>
    <x v="4"/>
    <x v="3"/>
    <x v="6"/>
    <n v="1"/>
    <n v="1800"/>
    <n v="0.05"/>
    <n v="1710"/>
    <n v="1100"/>
    <n v="610"/>
    <x v="0"/>
    <x v="1"/>
    <x v="1"/>
    <b v="1"/>
  </r>
  <r>
    <s v="ORD0104"/>
    <x v="52"/>
    <s v="C001"/>
    <x v="7"/>
    <x v="9"/>
    <x v="3"/>
    <x v="2"/>
    <x v="5"/>
    <n v="5"/>
    <n v="1800"/>
    <n v="0"/>
    <n v="9000"/>
    <n v="5500"/>
    <n v="3500"/>
    <x v="2"/>
    <x v="1"/>
    <x v="8"/>
    <b v="1"/>
  </r>
  <r>
    <s v="ORD0105"/>
    <x v="33"/>
    <s v="C016"/>
    <x v="9"/>
    <x v="9"/>
    <x v="3"/>
    <x v="1"/>
    <x v="1"/>
    <n v="4"/>
    <n v="1800"/>
    <n v="0.05"/>
    <n v="6840"/>
    <n v="4400"/>
    <n v="2440"/>
    <x v="2"/>
    <x v="1"/>
    <x v="0"/>
    <b v="1"/>
  </r>
  <r>
    <s v="ORD0106"/>
    <x v="19"/>
    <s v="C016"/>
    <x v="9"/>
    <x v="12"/>
    <x v="0"/>
    <x v="0"/>
    <x v="10"/>
    <n v="1"/>
    <n v="25000"/>
    <n v="0"/>
    <n v="25000"/>
    <n v="20500"/>
    <n v="4500"/>
    <x v="3"/>
    <x v="0"/>
    <x v="5"/>
    <b v="1"/>
  </r>
  <r>
    <s v="ORD0107"/>
    <x v="88"/>
    <s v="C014"/>
    <x v="1"/>
    <x v="12"/>
    <x v="0"/>
    <x v="1"/>
    <x v="8"/>
    <n v="2"/>
    <n v="25000"/>
    <n v="0"/>
    <n v="50000"/>
    <n v="41000"/>
    <n v="9000"/>
    <x v="2"/>
    <x v="1"/>
    <x v="1"/>
    <b v="1"/>
  </r>
  <r>
    <s v="ORD0108"/>
    <x v="89"/>
    <s v="C017"/>
    <x v="8"/>
    <x v="8"/>
    <x v="2"/>
    <x v="2"/>
    <x v="5"/>
    <n v="3"/>
    <n v="4500"/>
    <n v="0.1"/>
    <n v="12150"/>
    <n v="9300"/>
    <n v="2850"/>
    <x v="2"/>
    <x v="1"/>
    <x v="10"/>
    <b v="1"/>
  </r>
  <r>
    <s v="ORD0109"/>
    <x v="88"/>
    <s v="C005"/>
    <x v="18"/>
    <x v="1"/>
    <x v="1"/>
    <x v="0"/>
    <x v="0"/>
    <n v="2"/>
    <n v="7000"/>
    <n v="0.05"/>
    <n v="13300"/>
    <n v="9600"/>
    <n v="3700"/>
    <x v="1"/>
    <x v="1"/>
    <x v="1"/>
    <b v="1"/>
  </r>
  <r>
    <s v="ORD0110"/>
    <x v="90"/>
    <s v="C009"/>
    <x v="17"/>
    <x v="6"/>
    <x v="2"/>
    <x v="3"/>
    <x v="4"/>
    <n v="1"/>
    <n v="6000"/>
    <n v="0.05"/>
    <n v="5700"/>
    <n v="4200"/>
    <n v="1500"/>
    <x v="1"/>
    <x v="0"/>
    <x v="8"/>
    <b v="1"/>
  </r>
  <r>
    <s v="ORD0111"/>
    <x v="91"/>
    <s v="C018"/>
    <x v="2"/>
    <x v="10"/>
    <x v="4"/>
    <x v="3"/>
    <x v="4"/>
    <n v="3"/>
    <n v="1800"/>
    <n v="0.15"/>
    <n v="4590"/>
    <n v="3300"/>
    <n v="1290"/>
    <x v="1"/>
    <x v="1"/>
    <x v="5"/>
    <b v="1"/>
  </r>
  <r>
    <s v="ORD0112"/>
    <x v="86"/>
    <s v="C007"/>
    <x v="19"/>
    <x v="8"/>
    <x v="2"/>
    <x v="2"/>
    <x v="7"/>
    <n v="2"/>
    <n v="4500"/>
    <n v="0.1"/>
    <n v="8100"/>
    <n v="6200"/>
    <n v="1900"/>
    <x v="0"/>
    <x v="1"/>
    <x v="11"/>
    <b v="1"/>
  </r>
  <r>
    <s v="ORD0113"/>
    <x v="92"/>
    <s v="C013"/>
    <x v="15"/>
    <x v="1"/>
    <x v="1"/>
    <x v="2"/>
    <x v="7"/>
    <n v="2"/>
    <n v="7000"/>
    <n v="0"/>
    <n v="14000"/>
    <n v="9600"/>
    <n v="4400"/>
    <x v="3"/>
    <x v="0"/>
    <x v="5"/>
    <b v="1"/>
  </r>
  <r>
    <s v="ORD0114"/>
    <x v="93"/>
    <s v="C004"/>
    <x v="0"/>
    <x v="13"/>
    <x v="3"/>
    <x v="1"/>
    <x v="11"/>
    <n v="4"/>
    <n v="3000"/>
    <n v="0"/>
    <n v="12000"/>
    <n v="7600"/>
    <n v="4400"/>
    <x v="1"/>
    <x v="0"/>
    <x v="5"/>
    <b v="1"/>
  </r>
  <r>
    <s v="ORD0115"/>
    <x v="66"/>
    <s v="C016"/>
    <x v="9"/>
    <x v="4"/>
    <x v="2"/>
    <x v="3"/>
    <x v="4"/>
    <n v="3"/>
    <n v="3500"/>
    <n v="0.1"/>
    <n v="9450"/>
    <n v="7200"/>
    <n v="2250"/>
    <x v="0"/>
    <x v="1"/>
    <x v="4"/>
    <b v="1"/>
  </r>
  <r>
    <s v="ORD0116"/>
    <x v="94"/>
    <s v="C018"/>
    <x v="2"/>
    <x v="1"/>
    <x v="1"/>
    <x v="2"/>
    <x v="2"/>
    <n v="3"/>
    <n v="7000"/>
    <n v="0"/>
    <n v="21000"/>
    <n v="14400"/>
    <n v="6600"/>
    <x v="0"/>
    <x v="0"/>
    <x v="2"/>
    <b v="1"/>
  </r>
  <r>
    <s v="ORD0117"/>
    <x v="95"/>
    <s v="C010"/>
    <x v="16"/>
    <x v="7"/>
    <x v="0"/>
    <x v="2"/>
    <x v="7"/>
    <n v="1"/>
    <n v="5000"/>
    <n v="0"/>
    <n v="5000"/>
    <n v="3500"/>
    <n v="1500"/>
    <x v="1"/>
    <x v="0"/>
    <x v="0"/>
    <b v="1"/>
  </r>
  <r>
    <s v="ORD0118"/>
    <x v="96"/>
    <s v="C010"/>
    <x v="16"/>
    <x v="0"/>
    <x v="0"/>
    <x v="3"/>
    <x v="3"/>
    <n v="1"/>
    <n v="55000"/>
    <n v="0.05"/>
    <n v="52250"/>
    <n v="45000"/>
    <n v="7250"/>
    <x v="3"/>
    <x v="1"/>
    <x v="2"/>
    <b v="1"/>
  </r>
  <r>
    <s v="ORD0119"/>
    <x v="97"/>
    <s v="C005"/>
    <x v="18"/>
    <x v="7"/>
    <x v="0"/>
    <x v="2"/>
    <x v="2"/>
    <n v="5"/>
    <n v="5000"/>
    <n v="0"/>
    <n v="25000"/>
    <n v="17500"/>
    <n v="7500"/>
    <x v="2"/>
    <x v="0"/>
    <x v="5"/>
    <b v="1"/>
  </r>
  <r>
    <s v="ORD0120"/>
    <x v="5"/>
    <s v="C020"/>
    <x v="10"/>
    <x v="6"/>
    <x v="2"/>
    <x v="0"/>
    <x v="9"/>
    <n v="4"/>
    <n v="6000"/>
    <n v="0.15"/>
    <n v="20400"/>
    <n v="16800"/>
    <n v="3600"/>
    <x v="2"/>
    <x v="0"/>
    <x v="4"/>
    <b v="1"/>
  </r>
  <r>
    <s v="ORD0121"/>
    <x v="98"/>
    <s v="C009"/>
    <x v="17"/>
    <x v="10"/>
    <x v="4"/>
    <x v="1"/>
    <x v="8"/>
    <n v="3"/>
    <n v="1800"/>
    <n v="0.05"/>
    <n v="5130"/>
    <n v="3300"/>
    <n v="1830"/>
    <x v="2"/>
    <x v="0"/>
    <x v="5"/>
    <b v="1"/>
  </r>
  <r>
    <s v="ORD0122"/>
    <x v="26"/>
    <s v="C012"/>
    <x v="4"/>
    <x v="11"/>
    <x v="3"/>
    <x v="2"/>
    <x v="2"/>
    <n v="3"/>
    <n v="900"/>
    <n v="0.05"/>
    <n v="2565"/>
    <n v="1500"/>
    <n v="1065"/>
    <x v="1"/>
    <x v="1"/>
    <x v="5"/>
    <b v="1"/>
  </r>
  <r>
    <s v="ORD0123"/>
    <x v="99"/>
    <s v="C013"/>
    <x v="15"/>
    <x v="6"/>
    <x v="2"/>
    <x v="1"/>
    <x v="1"/>
    <n v="4"/>
    <n v="6000"/>
    <n v="0.1"/>
    <n v="21600"/>
    <n v="16800"/>
    <n v="4800"/>
    <x v="3"/>
    <x v="1"/>
    <x v="9"/>
    <b v="1"/>
  </r>
  <r>
    <s v="ORD0124"/>
    <x v="64"/>
    <s v="C010"/>
    <x v="16"/>
    <x v="0"/>
    <x v="0"/>
    <x v="3"/>
    <x v="3"/>
    <n v="4"/>
    <n v="55000"/>
    <n v="0.15"/>
    <n v="187000"/>
    <n v="180000"/>
    <n v="7000"/>
    <x v="0"/>
    <x v="1"/>
    <x v="2"/>
    <b v="1"/>
  </r>
  <r>
    <s v="ORD0125"/>
    <x v="100"/>
    <s v="C008"/>
    <x v="3"/>
    <x v="11"/>
    <x v="3"/>
    <x v="0"/>
    <x v="10"/>
    <n v="3"/>
    <n v="900"/>
    <n v="0"/>
    <n v="2700"/>
    <n v="1500"/>
    <n v="1200"/>
    <x v="3"/>
    <x v="0"/>
    <x v="10"/>
    <b v="1"/>
  </r>
  <r>
    <s v="ORD0126"/>
    <x v="13"/>
    <s v="C004"/>
    <x v="0"/>
    <x v="9"/>
    <x v="3"/>
    <x v="3"/>
    <x v="6"/>
    <n v="1"/>
    <n v="1800"/>
    <n v="0"/>
    <n v="1800"/>
    <n v="1100"/>
    <n v="700"/>
    <x v="3"/>
    <x v="0"/>
    <x v="0"/>
    <b v="1"/>
  </r>
  <r>
    <s v="ORD0127"/>
    <x v="101"/>
    <s v="C010"/>
    <x v="16"/>
    <x v="2"/>
    <x v="1"/>
    <x v="0"/>
    <x v="0"/>
    <n v="4"/>
    <n v="12000"/>
    <n v="0"/>
    <n v="48000"/>
    <n v="34000"/>
    <n v="14000"/>
    <x v="3"/>
    <x v="1"/>
    <x v="4"/>
    <b v="1"/>
  </r>
  <r>
    <s v="ORD0128"/>
    <x v="83"/>
    <s v="C009"/>
    <x v="17"/>
    <x v="6"/>
    <x v="2"/>
    <x v="3"/>
    <x v="4"/>
    <n v="4"/>
    <n v="6000"/>
    <n v="0.05"/>
    <n v="22800"/>
    <n v="16800"/>
    <n v="6000"/>
    <x v="0"/>
    <x v="1"/>
    <x v="7"/>
    <b v="1"/>
  </r>
  <r>
    <s v="ORD0129"/>
    <x v="66"/>
    <s v="C005"/>
    <x v="18"/>
    <x v="4"/>
    <x v="2"/>
    <x v="2"/>
    <x v="2"/>
    <n v="2"/>
    <n v="3500"/>
    <n v="0.05"/>
    <n v="6650"/>
    <n v="4800"/>
    <n v="1850"/>
    <x v="0"/>
    <x v="1"/>
    <x v="4"/>
    <b v="1"/>
  </r>
  <r>
    <s v="ORD0130"/>
    <x v="102"/>
    <s v="C009"/>
    <x v="17"/>
    <x v="13"/>
    <x v="3"/>
    <x v="2"/>
    <x v="5"/>
    <n v="1"/>
    <n v="3000"/>
    <n v="0.05"/>
    <n v="2850"/>
    <n v="1900"/>
    <n v="950"/>
    <x v="1"/>
    <x v="1"/>
    <x v="6"/>
    <b v="1"/>
  </r>
  <r>
    <s v="ORD0131"/>
    <x v="103"/>
    <s v="C008"/>
    <x v="3"/>
    <x v="10"/>
    <x v="4"/>
    <x v="3"/>
    <x v="4"/>
    <n v="1"/>
    <n v="1800"/>
    <n v="0"/>
    <n v="1800"/>
    <n v="1100"/>
    <n v="700"/>
    <x v="0"/>
    <x v="1"/>
    <x v="4"/>
    <b v="1"/>
  </r>
  <r>
    <s v="ORD0132"/>
    <x v="64"/>
    <s v="C010"/>
    <x v="16"/>
    <x v="9"/>
    <x v="3"/>
    <x v="1"/>
    <x v="1"/>
    <n v="4"/>
    <n v="1800"/>
    <n v="0"/>
    <n v="7200"/>
    <n v="4400"/>
    <n v="2800"/>
    <x v="0"/>
    <x v="1"/>
    <x v="2"/>
    <b v="1"/>
  </r>
  <r>
    <s v="ORD0133"/>
    <x v="104"/>
    <s v="C004"/>
    <x v="0"/>
    <x v="12"/>
    <x v="0"/>
    <x v="0"/>
    <x v="9"/>
    <n v="2"/>
    <n v="25000"/>
    <n v="0.1"/>
    <n v="45000"/>
    <n v="41000"/>
    <n v="4000"/>
    <x v="3"/>
    <x v="1"/>
    <x v="8"/>
    <b v="1"/>
  </r>
  <r>
    <s v="ORD0134"/>
    <x v="105"/>
    <s v="C005"/>
    <x v="18"/>
    <x v="1"/>
    <x v="1"/>
    <x v="2"/>
    <x v="2"/>
    <n v="1"/>
    <n v="7000"/>
    <n v="0.1"/>
    <n v="6300"/>
    <n v="4800"/>
    <n v="1500"/>
    <x v="3"/>
    <x v="0"/>
    <x v="1"/>
    <b v="1"/>
  </r>
  <r>
    <s v="ORD0135"/>
    <x v="38"/>
    <s v="C012"/>
    <x v="4"/>
    <x v="7"/>
    <x v="0"/>
    <x v="2"/>
    <x v="7"/>
    <n v="4"/>
    <n v="5000"/>
    <n v="0.05"/>
    <n v="19000"/>
    <n v="14000"/>
    <n v="5000"/>
    <x v="0"/>
    <x v="1"/>
    <x v="2"/>
    <b v="1"/>
  </r>
  <r>
    <s v="ORD0136"/>
    <x v="106"/>
    <s v="C012"/>
    <x v="4"/>
    <x v="0"/>
    <x v="0"/>
    <x v="3"/>
    <x v="3"/>
    <n v="4"/>
    <n v="55000"/>
    <n v="0"/>
    <n v="220000"/>
    <n v="180000"/>
    <n v="40000"/>
    <x v="1"/>
    <x v="0"/>
    <x v="1"/>
    <b v="1"/>
  </r>
  <r>
    <s v="ORD0137"/>
    <x v="107"/>
    <s v="C007"/>
    <x v="19"/>
    <x v="9"/>
    <x v="3"/>
    <x v="1"/>
    <x v="1"/>
    <n v="5"/>
    <n v="1800"/>
    <n v="0.05"/>
    <n v="8550"/>
    <n v="5500"/>
    <n v="3050"/>
    <x v="2"/>
    <x v="0"/>
    <x v="2"/>
    <b v="1"/>
  </r>
  <r>
    <s v="ORD0138"/>
    <x v="108"/>
    <s v="C007"/>
    <x v="19"/>
    <x v="12"/>
    <x v="0"/>
    <x v="0"/>
    <x v="10"/>
    <n v="5"/>
    <n v="25000"/>
    <n v="0"/>
    <n v="125000"/>
    <n v="102500"/>
    <n v="22500"/>
    <x v="2"/>
    <x v="1"/>
    <x v="1"/>
    <b v="1"/>
  </r>
  <r>
    <s v="ORD0139"/>
    <x v="53"/>
    <s v="C020"/>
    <x v="10"/>
    <x v="0"/>
    <x v="0"/>
    <x v="0"/>
    <x v="0"/>
    <n v="3"/>
    <n v="55000"/>
    <n v="0.15"/>
    <n v="140250"/>
    <n v="135000"/>
    <n v="5250"/>
    <x v="3"/>
    <x v="0"/>
    <x v="7"/>
    <b v="1"/>
  </r>
  <r>
    <s v="ORD0140"/>
    <x v="109"/>
    <s v="C001"/>
    <x v="7"/>
    <x v="5"/>
    <x v="0"/>
    <x v="3"/>
    <x v="3"/>
    <n v="1"/>
    <n v="2500"/>
    <n v="0.15"/>
    <n v="2125"/>
    <n v="1700"/>
    <n v="425"/>
    <x v="3"/>
    <x v="0"/>
    <x v="4"/>
    <b v="1"/>
  </r>
  <r>
    <s v="ORD0141"/>
    <x v="110"/>
    <s v="C009"/>
    <x v="17"/>
    <x v="0"/>
    <x v="0"/>
    <x v="2"/>
    <x v="2"/>
    <n v="2"/>
    <n v="55000"/>
    <n v="0"/>
    <n v="110000"/>
    <n v="90000"/>
    <n v="20000"/>
    <x v="0"/>
    <x v="1"/>
    <x v="7"/>
    <b v="1"/>
  </r>
  <r>
    <s v="ORD0142"/>
    <x v="111"/>
    <s v="C012"/>
    <x v="4"/>
    <x v="13"/>
    <x v="3"/>
    <x v="1"/>
    <x v="8"/>
    <n v="5"/>
    <n v="3000"/>
    <n v="0.15"/>
    <n v="12750"/>
    <n v="9500"/>
    <n v="3250"/>
    <x v="2"/>
    <x v="0"/>
    <x v="5"/>
    <b v="1"/>
  </r>
  <r>
    <s v="ORD0143"/>
    <x v="112"/>
    <s v="C017"/>
    <x v="8"/>
    <x v="3"/>
    <x v="1"/>
    <x v="1"/>
    <x v="1"/>
    <n v="4"/>
    <n v="8000"/>
    <n v="0.1"/>
    <n v="28800"/>
    <n v="22400"/>
    <n v="6400"/>
    <x v="1"/>
    <x v="1"/>
    <x v="2"/>
    <b v="1"/>
  </r>
  <r>
    <s v="ORD0144"/>
    <x v="113"/>
    <s v="C004"/>
    <x v="0"/>
    <x v="10"/>
    <x v="4"/>
    <x v="1"/>
    <x v="1"/>
    <n v="4"/>
    <n v="1800"/>
    <n v="0.05"/>
    <n v="6840"/>
    <n v="4400"/>
    <n v="2440"/>
    <x v="2"/>
    <x v="0"/>
    <x v="2"/>
    <b v="1"/>
  </r>
  <r>
    <s v="ORD0145"/>
    <x v="114"/>
    <s v="C009"/>
    <x v="17"/>
    <x v="11"/>
    <x v="3"/>
    <x v="3"/>
    <x v="6"/>
    <n v="5"/>
    <n v="900"/>
    <n v="0.15"/>
    <n v="3825"/>
    <n v="2500"/>
    <n v="1325"/>
    <x v="3"/>
    <x v="1"/>
    <x v="7"/>
    <b v="1"/>
  </r>
  <r>
    <s v="ORD0146"/>
    <x v="115"/>
    <s v="C020"/>
    <x v="10"/>
    <x v="1"/>
    <x v="1"/>
    <x v="1"/>
    <x v="11"/>
    <n v="1"/>
    <n v="7000"/>
    <n v="0.15"/>
    <n v="5950"/>
    <n v="4800"/>
    <n v="1150"/>
    <x v="2"/>
    <x v="1"/>
    <x v="8"/>
    <b v="1"/>
  </r>
  <r>
    <s v="ORD0147"/>
    <x v="116"/>
    <s v="C008"/>
    <x v="3"/>
    <x v="1"/>
    <x v="1"/>
    <x v="2"/>
    <x v="5"/>
    <n v="3"/>
    <n v="7000"/>
    <n v="0.1"/>
    <n v="18900"/>
    <n v="14400"/>
    <n v="4500"/>
    <x v="0"/>
    <x v="1"/>
    <x v="5"/>
    <b v="1"/>
  </r>
  <r>
    <s v="ORD0148"/>
    <x v="117"/>
    <s v="C011"/>
    <x v="5"/>
    <x v="9"/>
    <x v="3"/>
    <x v="3"/>
    <x v="3"/>
    <n v="3"/>
    <n v="1800"/>
    <n v="0.1"/>
    <n v="4860"/>
    <n v="3300"/>
    <n v="1560"/>
    <x v="0"/>
    <x v="0"/>
    <x v="5"/>
    <b v="1"/>
  </r>
  <r>
    <s v="ORD0149"/>
    <x v="17"/>
    <s v="C003"/>
    <x v="14"/>
    <x v="1"/>
    <x v="1"/>
    <x v="3"/>
    <x v="3"/>
    <n v="1"/>
    <n v="7000"/>
    <n v="0.15"/>
    <n v="5950"/>
    <n v="4800"/>
    <n v="1150"/>
    <x v="0"/>
    <x v="1"/>
    <x v="4"/>
    <b v="1"/>
  </r>
  <r>
    <s v="ORD0150"/>
    <x v="118"/>
    <s v="C004"/>
    <x v="0"/>
    <x v="1"/>
    <x v="1"/>
    <x v="2"/>
    <x v="2"/>
    <n v="3"/>
    <n v="7000"/>
    <n v="0"/>
    <n v="21000"/>
    <n v="14400"/>
    <n v="6600"/>
    <x v="3"/>
    <x v="1"/>
    <x v="2"/>
    <b v="1"/>
  </r>
  <r>
    <s v="ORD0151"/>
    <x v="119"/>
    <s v="C004"/>
    <x v="0"/>
    <x v="11"/>
    <x v="3"/>
    <x v="0"/>
    <x v="0"/>
    <n v="5"/>
    <n v="900"/>
    <n v="0.1"/>
    <n v="4050"/>
    <n v="2500"/>
    <n v="1550"/>
    <x v="2"/>
    <x v="0"/>
    <x v="11"/>
    <b v="1"/>
  </r>
  <r>
    <s v="ORD0152"/>
    <x v="63"/>
    <s v="C018"/>
    <x v="2"/>
    <x v="2"/>
    <x v="1"/>
    <x v="3"/>
    <x v="4"/>
    <n v="1"/>
    <n v="12000"/>
    <n v="0"/>
    <n v="12000"/>
    <n v="8500"/>
    <n v="3500"/>
    <x v="1"/>
    <x v="0"/>
    <x v="11"/>
    <b v="1"/>
  </r>
  <r>
    <s v="ORD0153"/>
    <x v="120"/>
    <s v="C009"/>
    <x v="17"/>
    <x v="0"/>
    <x v="0"/>
    <x v="3"/>
    <x v="4"/>
    <n v="2"/>
    <n v="55000"/>
    <n v="0.05"/>
    <n v="104500"/>
    <n v="90000"/>
    <n v="14500"/>
    <x v="3"/>
    <x v="1"/>
    <x v="0"/>
    <b v="1"/>
  </r>
  <r>
    <s v="ORD0154"/>
    <x v="121"/>
    <s v="C006"/>
    <x v="6"/>
    <x v="6"/>
    <x v="2"/>
    <x v="2"/>
    <x v="7"/>
    <n v="2"/>
    <n v="6000"/>
    <n v="0"/>
    <n v="12000"/>
    <n v="8400"/>
    <n v="3600"/>
    <x v="0"/>
    <x v="0"/>
    <x v="6"/>
    <b v="1"/>
  </r>
  <r>
    <s v="ORD0155"/>
    <x v="122"/>
    <s v="C007"/>
    <x v="19"/>
    <x v="1"/>
    <x v="1"/>
    <x v="2"/>
    <x v="5"/>
    <n v="4"/>
    <n v="7000"/>
    <n v="0"/>
    <n v="28000"/>
    <n v="19200"/>
    <n v="8800"/>
    <x v="3"/>
    <x v="1"/>
    <x v="8"/>
    <b v="1"/>
  </r>
  <r>
    <s v="ORD0156"/>
    <x v="123"/>
    <s v="C019"/>
    <x v="13"/>
    <x v="11"/>
    <x v="3"/>
    <x v="1"/>
    <x v="1"/>
    <n v="1"/>
    <n v="900"/>
    <n v="0"/>
    <n v="900"/>
    <n v="500"/>
    <n v="400"/>
    <x v="0"/>
    <x v="0"/>
    <x v="11"/>
    <b v="1"/>
  </r>
  <r>
    <s v="ORD0157"/>
    <x v="35"/>
    <s v="C015"/>
    <x v="12"/>
    <x v="9"/>
    <x v="3"/>
    <x v="2"/>
    <x v="2"/>
    <n v="4"/>
    <n v="1800"/>
    <n v="0.1"/>
    <n v="6480"/>
    <n v="4400"/>
    <n v="2080"/>
    <x v="1"/>
    <x v="1"/>
    <x v="10"/>
    <b v="1"/>
  </r>
  <r>
    <s v="ORD0158"/>
    <x v="74"/>
    <s v="C017"/>
    <x v="8"/>
    <x v="12"/>
    <x v="0"/>
    <x v="2"/>
    <x v="7"/>
    <n v="3"/>
    <n v="25000"/>
    <n v="0.05"/>
    <n v="71250"/>
    <n v="61500"/>
    <n v="9750"/>
    <x v="1"/>
    <x v="1"/>
    <x v="9"/>
    <b v="1"/>
  </r>
  <r>
    <s v="ORD0159"/>
    <x v="124"/>
    <s v="C008"/>
    <x v="3"/>
    <x v="1"/>
    <x v="1"/>
    <x v="1"/>
    <x v="1"/>
    <n v="5"/>
    <n v="7000"/>
    <n v="0"/>
    <n v="35000"/>
    <n v="24000"/>
    <n v="11000"/>
    <x v="3"/>
    <x v="0"/>
    <x v="6"/>
    <b v="1"/>
  </r>
  <r>
    <s v="ORD0160"/>
    <x v="59"/>
    <s v="C009"/>
    <x v="17"/>
    <x v="3"/>
    <x v="1"/>
    <x v="1"/>
    <x v="1"/>
    <n v="3"/>
    <n v="8000"/>
    <n v="0.1"/>
    <n v="21600"/>
    <n v="16800"/>
    <n v="4800"/>
    <x v="1"/>
    <x v="0"/>
    <x v="7"/>
    <b v="1"/>
  </r>
  <r>
    <s v="ORD0161"/>
    <x v="125"/>
    <s v="C013"/>
    <x v="15"/>
    <x v="13"/>
    <x v="3"/>
    <x v="3"/>
    <x v="3"/>
    <n v="2"/>
    <n v="3000"/>
    <n v="0.1"/>
    <n v="5400"/>
    <n v="3800"/>
    <n v="1600"/>
    <x v="0"/>
    <x v="1"/>
    <x v="7"/>
    <b v="1"/>
  </r>
  <r>
    <s v="ORD0162"/>
    <x v="126"/>
    <s v="C015"/>
    <x v="12"/>
    <x v="12"/>
    <x v="0"/>
    <x v="2"/>
    <x v="2"/>
    <n v="3"/>
    <n v="25000"/>
    <n v="0.1"/>
    <n v="67500"/>
    <n v="61500"/>
    <n v="6000"/>
    <x v="1"/>
    <x v="1"/>
    <x v="6"/>
    <b v="1"/>
  </r>
  <r>
    <s v="ORD0163"/>
    <x v="127"/>
    <s v="C013"/>
    <x v="15"/>
    <x v="0"/>
    <x v="0"/>
    <x v="0"/>
    <x v="10"/>
    <n v="3"/>
    <n v="55000"/>
    <n v="0.1"/>
    <n v="148500"/>
    <n v="135000"/>
    <n v="13500"/>
    <x v="3"/>
    <x v="0"/>
    <x v="4"/>
    <b v="1"/>
  </r>
  <r>
    <s v="ORD0164"/>
    <x v="128"/>
    <s v="C004"/>
    <x v="0"/>
    <x v="7"/>
    <x v="0"/>
    <x v="2"/>
    <x v="2"/>
    <n v="4"/>
    <n v="5000"/>
    <n v="0"/>
    <n v="20000"/>
    <n v="14000"/>
    <n v="6000"/>
    <x v="1"/>
    <x v="1"/>
    <x v="5"/>
    <b v="1"/>
  </r>
  <r>
    <s v="ORD0165"/>
    <x v="129"/>
    <s v="C008"/>
    <x v="3"/>
    <x v="2"/>
    <x v="1"/>
    <x v="1"/>
    <x v="11"/>
    <n v="2"/>
    <n v="12000"/>
    <n v="0"/>
    <n v="24000"/>
    <n v="17000"/>
    <n v="7000"/>
    <x v="2"/>
    <x v="1"/>
    <x v="11"/>
    <b v="1"/>
  </r>
  <r>
    <s v="ORD0166"/>
    <x v="63"/>
    <s v="C005"/>
    <x v="18"/>
    <x v="7"/>
    <x v="0"/>
    <x v="0"/>
    <x v="9"/>
    <n v="1"/>
    <n v="5000"/>
    <n v="0"/>
    <n v="5000"/>
    <n v="3500"/>
    <n v="1500"/>
    <x v="2"/>
    <x v="0"/>
    <x v="11"/>
    <b v="1"/>
  </r>
  <r>
    <s v="ORD0167"/>
    <x v="130"/>
    <s v="C003"/>
    <x v="14"/>
    <x v="5"/>
    <x v="0"/>
    <x v="2"/>
    <x v="2"/>
    <n v="4"/>
    <n v="2500"/>
    <n v="0.15"/>
    <n v="8500"/>
    <n v="6800"/>
    <n v="1700"/>
    <x v="1"/>
    <x v="1"/>
    <x v="2"/>
    <b v="1"/>
  </r>
  <r>
    <s v="ORD0168"/>
    <x v="13"/>
    <s v="C011"/>
    <x v="5"/>
    <x v="5"/>
    <x v="0"/>
    <x v="1"/>
    <x v="8"/>
    <n v="4"/>
    <n v="2500"/>
    <n v="0.1"/>
    <n v="9000"/>
    <n v="6800"/>
    <n v="2200"/>
    <x v="3"/>
    <x v="1"/>
    <x v="0"/>
    <b v="1"/>
  </r>
  <r>
    <s v="ORD0169"/>
    <x v="1"/>
    <s v="C002"/>
    <x v="11"/>
    <x v="2"/>
    <x v="1"/>
    <x v="1"/>
    <x v="8"/>
    <n v="5"/>
    <n v="12000"/>
    <n v="0.1"/>
    <n v="54000"/>
    <n v="42500"/>
    <n v="11500"/>
    <x v="1"/>
    <x v="0"/>
    <x v="1"/>
    <b v="1"/>
  </r>
  <r>
    <s v="ORD0170"/>
    <x v="29"/>
    <s v="C012"/>
    <x v="4"/>
    <x v="6"/>
    <x v="2"/>
    <x v="1"/>
    <x v="11"/>
    <n v="3"/>
    <n v="6000"/>
    <n v="0"/>
    <n v="18000"/>
    <n v="12600"/>
    <n v="5400"/>
    <x v="1"/>
    <x v="1"/>
    <x v="6"/>
    <b v="1"/>
  </r>
  <r>
    <s v="ORD0171"/>
    <x v="131"/>
    <s v="C018"/>
    <x v="2"/>
    <x v="4"/>
    <x v="2"/>
    <x v="2"/>
    <x v="2"/>
    <n v="1"/>
    <n v="3500"/>
    <n v="0"/>
    <n v="3500"/>
    <n v="2400"/>
    <n v="1100"/>
    <x v="3"/>
    <x v="1"/>
    <x v="1"/>
    <b v="1"/>
  </r>
  <r>
    <s v="ORD0172"/>
    <x v="132"/>
    <s v="C005"/>
    <x v="18"/>
    <x v="0"/>
    <x v="0"/>
    <x v="1"/>
    <x v="8"/>
    <n v="4"/>
    <n v="55000"/>
    <n v="0"/>
    <n v="220000"/>
    <n v="180000"/>
    <n v="40000"/>
    <x v="2"/>
    <x v="0"/>
    <x v="8"/>
    <b v="1"/>
  </r>
  <r>
    <s v="ORD0173"/>
    <x v="133"/>
    <s v="C015"/>
    <x v="12"/>
    <x v="10"/>
    <x v="4"/>
    <x v="0"/>
    <x v="9"/>
    <n v="5"/>
    <n v="1800"/>
    <n v="0.05"/>
    <n v="8550"/>
    <n v="5500"/>
    <n v="3050"/>
    <x v="3"/>
    <x v="1"/>
    <x v="10"/>
    <b v="1"/>
  </r>
  <r>
    <s v="ORD0174"/>
    <x v="80"/>
    <s v="C011"/>
    <x v="5"/>
    <x v="9"/>
    <x v="3"/>
    <x v="1"/>
    <x v="11"/>
    <n v="5"/>
    <n v="1800"/>
    <n v="0.05"/>
    <n v="8550"/>
    <n v="5500"/>
    <n v="3050"/>
    <x v="0"/>
    <x v="1"/>
    <x v="3"/>
    <b v="1"/>
  </r>
  <r>
    <s v="ORD0175"/>
    <x v="23"/>
    <s v="C018"/>
    <x v="2"/>
    <x v="9"/>
    <x v="3"/>
    <x v="3"/>
    <x v="6"/>
    <n v="4"/>
    <n v="1800"/>
    <n v="0.15"/>
    <n v="6120"/>
    <n v="4400"/>
    <n v="1720"/>
    <x v="2"/>
    <x v="1"/>
    <x v="4"/>
    <b v="1"/>
  </r>
  <r>
    <s v="ORD0176"/>
    <x v="134"/>
    <s v="C019"/>
    <x v="13"/>
    <x v="9"/>
    <x v="3"/>
    <x v="3"/>
    <x v="6"/>
    <n v="2"/>
    <n v="1800"/>
    <n v="0.1"/>
    <n v="3240"/>
    <n v="2200"/>
    <n v="1040"/>
    <x v="2"/>
    <x v="0"/>
    <x v="4"/>
    <b v="1"/>
  </r>
  <r>
    <s v="ORD0177"/>
    <x v="135"/>
    <s v="C018"/>
    <x v="2"/>
    <x v="1"/>
    <x v="1"/>
    <x v="0"/>
    <x v="10"/>
    <n v="3"/>
    <n v="7000"/>
    <n v="0.15"/>
    <n v="17850"/>
    <n v="14400"/>
    <n v="3450"/>
    <x v="0"/>
    <x v="1"/>
    <x v="11"/>
    <b v="1"/>
  </r>
  <r>
    <s v="ORD0178"/>
    <x v="136"/>
    <s v="C012"/>
    <x v="4"/>
    <x v="0"/>
    <x v="0"/>
    <x v="3"/>
    <x v="3"/>
    <n v="3"/>
    <n v="55000"/>
    <n v="0"/>
    <n v="165000"/>
    <n v="135000"/>
    <n v="30000"/>
    <x v="3"/>
    <x v="1"/>
    <x v="8"/>
    <b v="1"/>
  </r>
  <r>
    <s v="ORD0179"/>
    <x v="137"/>
    <s v="C008"/>
    <x v="3"/>
    <x v="5"/>
    <x v="0"/>
    <x v="1"/>
    <x v="8"/>
    <n v="2"/>
    <n v="2500"/>
    <n v="0"/>
    <n v="5000"/>
    <n v="3400"/>
    <n v="1600"/>
    <x v="0"/>
    <x v="1"/>
    <x v="9"/>
    <b v="1"/>
  </r>
  <r>
    <s v="ORD0180"/>
    <x v="138"/>
    <s v="C005"/>
    <x v="18"/>
    <x v="11"/>
    <x v="3"/>
    <x v="0"/>
    <x v="0"/>
    <n v="4"/>
    <n v="900"/>
    <n v="0"/>
    <n v="3600"/>
    <n v="2000"/>
    <n v="1600"/>
    <x v="2"/>
    <x v="1"/>
    <x v="0"/>
    <b v="1"/>
  </r>
  <r>
    <s v="ORD0181"/>
    <x v="47"/>
    <s v="C014"/>
    <x v="1"/>
    <x v="2"/>
    <x v="1"/>
    <x v="2"/>
    <x v="2"/>
    <n v="2"/>
    <n v="12000"/>
    <n v="0.05"/>
    <n v="22800"/>
    <n v="17000"/>
    <n v="5800"/>
    <x v="1"/>
    <x v="0"/>
    <x v="6"/>
    <b v="1"/>
  </r>
  <r>
    <s v="ORD0182"/>
    <x v="8"/>
    <s v="C008"/>
    <x v="3"/>
    <x v="3"/>
    <x v="1"/>
    <x v="0"/>
    <x v="9"/>
    <n v="4"/>
    <n v="8000"/>
    <n v="0.15"/>
    <n v="27200"/>
    <n v="22400"/>
    <n v="4800"/>
    <x v="1"/>
    <x v="1"/>
    <x v="1"/>
    <b v="1"/>
  </r>
  <r>
    <s v="ORD0183"/>
    <x v="139"/>
    <s v="C013"/>
    <x v="15"/>
    <x v="13"/>
    <x v="3"/>
    <x v="2"/>
    <x v="7"/>
    <n v="5"/>
    <n v="3000"/>
    <n v="0"/>
    <n v="15000"/>
    <n v="9500"/>
    <n v="5500"/>
    <x v="2"/>
    <x v="1"/>
    <x v="10"/>
    <b v="1"/>
  </r>
  <r>
    <s v="ORD0184"/>
    <x v="36"/>
    <s v="C016"/>
    <x v="9"/>
    <x v="6"/>
    <x v="2"/>
    <x v="1"/>
    <x v="11"/>
    <n v="3"/>
    <n v="6000"/>
    <n v="0.15"/>
    <n v="15300"/>
    <n v="12600"/>
    <n v="2700"/>
    <x v="0"/>
    <x v="1"/>
    <x v="6"/>
    <b v="1"/>
  </r>
  <r>
    <s v="ORD0185"/>
    <x v="140"/>
    <s v="C006"/>
    <x v="6"/>
    <x v="3"/>
    <x v="1"/>
    <x v="0"/>
    <x v="9"/>
    <n v="4"/>
    <n v="8000"/>
    <n v="0"/>
    <n v="32000"/>
    <n v="22400"/>
    <n v="9600"/>
    <x v="2"/>
    <x v="1"/>
    <x v="4"/>
    <b v="1"/>
  </r>
  <r>
    <s v="ORD0186"/>
    <x v="141"/>
    <s v="C001"/>
    <x v="7"/>
    <x v="1"/>
    <x v="1"/>
    <x v="2"/>
    <x v="2"/>
    <n v="1"/>
    <n v="7000"/>
    <n v="0.05"/>
    <n v="6650"/>
    <n v="4800"/>
    <n v="1850"/>
    <x v="2"/>
    <x v="1"/>
    <x v="11"/>
    <b v="1"/>
  </r>
  <r>
    <s v="ORD0187"/>
    <x v="134"/>
    <s v="C012"/>
    <x v="4"/>
    <x v="7"/>
    <x v="0"/>
    <x v="3"/>
    <x v="3"/>
    <n v="1"/>
    <n v="5000"/>
    <n v="0.05"/>
    <n v="4750"/>
    <n v="3500"/>
    <n v="1250"/>
    <x v="2"/>
    <x v="0"/>
    <x v="4"/>
    <b v="1"/>
  </r>
  <r>
    <s v="ORD0188"/>
    <x v="142"/>
    <s v="C010"/>
    <x v="16"/>
    <x v="6"/>
    <x v="2"/>
    <x v="0"/>
    <x v="10"/>
    <n v="4"/>
    <n v="6000"/>
    <n v="0.1"/>
    <n v="21600"/>
    <n v="16800"/>
    <n v="4800"/>
    <x v="1"/>
    <x v="0"/>
    <x v="6"/>
    <b v="1"/>
  </r>
  <r>
    <s v="ORD0189"/>
    <x v="5"/>
    <s v="C001"/>
    <x v="7"/>
    <x v="3"/>
    <x v="1"/>
    <x v="0"/>
    <x v="10"/>
    <n v="2"/>
    <n v="8000"/>
    <n v="0.15"/>
    <n v="13600"/>
    <n v="11200"/>
    <n v="2400"/>
    <x v="1"/>
    <x v="0"/>
    <x v="4"/>
    <b v="1"/>
  </r>
  <r>
    <s v="ORD0190"/>
    <x v="143"/>
    <s v="C008"/>
    <x v="3"/>
    <x v="3"/>
    <x v="1"/>
    <x v="1"/>
    <x v="1"/>
    <n v="1"/>
    <n v="8000"/>
    <n v="0.1"/>
    <n v="7200"/>
    <n v="5600"/>
    <n v="1600"/>
    <x v="1"/>
    <x v="0"/>
    <x v="10"/>
    <b v="1"/>
  </r>
  <r>
    <s v="ORD0191"/>
    <x v="109"/>
    <s v="C016"/>
    <x v="9"/>
    <x v="11"/>
    <x v="3"/>
    <x v="1"/>
    <x v="11"/>
    <n v="5"/>
    <n v="900"/>
    <n v="0.15"/>
    <n v="3825"/>
    <n v="2500"/>
    <n v="1325"/>
    <x v="2"/>
    <x v="0"/>
    <x v="4"/>
    <b v="1"/>
  </r>
  <r>
    <s v="ORD0192"/>
    <x v="89"/>
    <s v="C014"/>
    <x v="1"/>
    <x v="0"/>
    <x v="0"/>
    <x v="3"/>
    <x v="3"/>
    <n v="5"/>
    <n v="55000"/>
    <n v="0.15"/>
    <n v="233750"/>
    <n v="225000"/>
    <n v="8750"/>
    <x v="1"/>
    <x v="0"/>
    <x v="10"/>
    <b v="1"/>
  </r>
  <r>
    <s v="ORD0193"/>
    <x v="144"/>
    <s v="C003"/>
    <x v="14"/>
    <x v="13"/>
    <x v="3"/>
    <x v="1"/>
    <x v="11"/>
    <n v="3"/>
    <n v="3000"/>
    <n v="0.15"/>
    <n v="7650"/>
    <n v="5700"/>
    <n v="1950"/>
    <x v="0"/>
    <x v="1"/>
    <x v="2"/>
    <b v="1"/>
  </r>
  <r>
    <s v="ORD0194"/>
    <x v="145"/>
    <s v="C002"/>
    <x v="11"/>
    <x v="9"/>
    <x v="3"/>
    <x v="3"/>
    <x v="6"/>
    <n v="4"/>
    <n v="1800"/>
    <n v="0"/>
    <n v="7200"/>
    <n v="4400"/>
    <n v="2800"/>
    <x v="3"/>
    <x v="0"/>
    <x v="5"/>
    <b v="1"/>
  </r>
  <r>
    <s v="ORD0195"/>
    <x v="146"/>
    <s v="C008"/>
    <x v="3"/>
    <x v="8"/>
    <x v="2"/>
    <x v="3"/>
    <x v="3"/>
    <n v="1"/>
    <n v="4500"/>
    <n v="0"/>
    <n v="4500"/>
    <n v="3100"/>
    <n v="1400"/>
    <x v="3"/>
    <x v="1"/>
    <x v="11"/>
    <b v="1"/>
  </r>
  <r>
    <s v="ORD0196"/>
    <x v="147"/>
    <s v="C006"/>
    <x v="6"/>
    <x v="6"/>
    <x v="2"/>
    <x v="2"/>
    <x v="2"/>
    <n v="4"/>
    <n v="6000"/>
    <n v="0"/>
    <n v="24000"/>
    <n v="16800"/>
    <n v="7200"/>
    <x v="2"/>
    <x v="0"/>
    <x v="0"/>
    <b v="1"/>
  </r>
  <r>
    <s v="ORD0197"/>
    <x v="148"/>
    <s v="C002"/>
    <x v="11"/>
    <x v="3"/>
    <x v="1"/>
    <x v="1"/>
    <x v="1"/>
    <n v="2"/>
    <n v="8000"/>
    <n v="0"/>
    <n v="16000"/>
    <n v="11200"/>
    <n v="4800"/>
    <x v="3"/>
    <x v="1"/>
    <x v="5"/>
    <b v="1"/>
  </r>
  <r>
    <s v="ORD0198"/>
    <x v="52"/>
    <s v="C013"/>
    <x v="15"/>
    <x v="6"/>
    <x v="2"/>
    <x v="2"/>
    <x v="5"/>
    <n v="5"/>
    <n v="6000"/>
    <n v="0"/>
    <n v="30000"/>
    <n v="21000"/>
    <n v="9000"/>
    <x v="2"/>
    <x v="1"/>
    <x v="8"/>
    <b v="1"/>
  </r>
  <r>
    <s v="ORD0199"/>
    <x v="149"/>
    <s v="C002"/>
    <x v="11"/>
    <x v="6"/>
    <x v="2"/>
    <x v="3"/>
    <x v="3"/>
    <n v="3"/>
    <n v="6000"/>
    <n v="0.05"/>
    <n v="17100"/>
    <n v="12600"/>
    <n v="4500"/>
    <x v="1"/>
    <x v="1"/>
    <x v="3"/>
    <b v="1"/>
  </r>
  <r>
    <s v="ORD0200"/>
    <x v="93"/>
    <s v="C013"/>
    <x v="15"/>
    <x v="2"/>
    <x v="1"/>
    <x v="2"/>
    <x v="2"/>
    <n v="2"/>
    <n v="12000"/>
    <n v="0.1"/>
    <n v="21600"/>
    <n v="17000"/>
    <n v="4600"/>
    <x v="3"/>
    <x v="1"/>
    <x v="5"/>
    <b v="1"/>
  </r>
  <r>
    <s v="ORD0201"/>
    <x v="140"/>
    <s v="C014"/>
    <x v="1"/>
    <x v="12"/>
    <x v="0"/>
    <x v="0"/>
    <x v="10"/>
    <n v="4"/>
    <n v="25000"/>
    <n v="0.05"/>
    <n v="95000"/>
    <n v="82000"/>
    <n v="13000"/>
    <x v="3"/>
    <x v="0"/>
    <x v="4"/>
    <b v="1"/>
  </r>
  <r>
    <s v="ORD0202"/>
    <x v="5"/>
    <s v="C011"/>
    <x v="5"/>
    <x v="9"/>
    <x v="3"/>
    <x v="3"/>
    <x v="6"/>
    <n v="3"/>
    <n v="1800"/>
    <n v="0.15"/>
    <n v="4590"/>
    <n v="3300"/>
    <n v="1290"/>
    <x v="1"/>
    <x v="0"/>
    <x v="4"/>
    <b v="1"/>
  </r>
  <r>
    <s v="ORD0203"/>
    <x v="38"/>
    <s v="C015"/>
    <x v="12"/>
    <x v="2"/>
    <x v="1"/>
    <x v="1"/>
    <x v="11"/>
    <n v="4"/>
    <n v="12000"/>
    <n v="0.05"/>
    <n v="45600"/>
    <n v="34000"/>
    <n v="11600"/>
    <x v="1"/>
    <x v="1"/>
    <x v="2"/>
    <b v="1"/>
  </r>
  <r>
    <s v="ORD0204"/>
    <x v="0"/>
    <s v="C002"/>
    <x v="11"/>
    <x v="12"/>
    <x v="0"/>
    <x v="3"/>
    <x v="4"/>
    <n v="4"/>
    <n v="25000"/>
    <n v="0"/>
    <n v="100000"/>
    <n v="82000"/>
    <n v="18000"/>
    <x v="0"/>
    <x v="0"/>
    <x v="0"/>
    <b v="1"/>
  </r>
  <r>
    <s v="ORD0205"/>
    <x v="120"/>
    <s v="C015"/>
    <x v="12"/>
    <x v="0"/>
    <x v="0"/>
    <x v="1"/>
    <x v="1"/>
    <n v="2"/>
    <n v="55000"/>
    <n v="0.05"/>
    <n v="104500"/>
    <n v="90000"/>
    <n v="14500"/>
    <x v="3"/>
    <x v="1"/>
    <x v="0"/>
    <b v="1"/>
  </r>
  <r>
    <s v="ORD0206"/>
    <x v="10"/>
    <s v="C002"/>
    <x v="11"/>
    <x v="11"/>
    <x v="3"/>
    <x v="2"/>
    <x v="5"/>
    <n v="2"/>
    <n v="900"/>
    <n v="0.05"/>
    <n v="1710"/>
    <n v="1000"/>
    <n v="710"/>
    <x v="1"/>
    <x v="0"/>
    <x v="1"/>
    <b v="1"/>
  </r>
  <r>
    <s v="ORD0207"/>
    <x v="150"/>
    <s v="C005"/>
    <x v="18"/>
    <x v="13"/>
    <x v="3"/>
    <x v="2"/>
    <x v="5"/>
    <n v="3"/>
    <n v="3000"/>
    <n v="0.05"/>
    <n v="8550"/>
    <n v="5700"/>
    <n v="2850"/>
    <x v="2"/>
    <x v="0"/>
    <x v="1"/>
    <b v="1"/>
  </r>
  <r>
    <s v="ORD0208"/>
    <x v="151"/>
    <s v="C006"/>
    <x v="6"/>
    <x v="10"/>
    <x v="4"/>
    <x v="2"/>
    <x v="2"/>
    <n v="5"/>
    <n v="1800"/>
    <n v="0"/>
    <n v="9000"/>
    <n v="5500"/>
    <n v="3500"/>
    <x v="3"/>
    <x v="1"/>
    <x v="6"/>
    <b v="1"/>
  </r>
  <r>
    <s v="ORD0209"/>
    <x v="152"/>
    <s v="C015"/>
    <x v="12"/>
    <x v="7"/>
    <x v="0"/>
    <x v="3"/>
    <x v="4"/>
    <n v="5"/>
    <n v="5000"/>
    <n v="0.1"/>
    <n v="22500"/>
    <n v="17500"/>
    <n v="5000"/>
    <x v="2"/>
    <x v="0"/>
    <x v="2"/>
    <b v="1"/>
  </r>
  <r>
    <s v="ORD0210"/>
    <x v="153"/>
    <s v="C003"/>
    <x v="14"/>
    <x v="10"/>
    <x v="4"/>
    <x v="2"/>
    <x v="7"/>
    <n v="2"/>
    <n v="1800"/>
    <n v="0.05"/>
    <n v="3420"/>
    <n v="2200"/>
    <n v="1220"/>
    <x v="3"/>
    <x v="0"/>
    <x v="7"/>
    <b v="1"/>
  </r>
  <r>
    <s v="ORD0211"/>
    <x v="87"/>
    <s v="C018"/>
    <x v="2"/>
    <x v="3"/>
    <x v="1"/>
    <x v="0"/>
    <x v="10"/>
    <n v="3"/>
    <n v="8000"/>
    <n v="0"/>
    <n v="24000"/>
    <n v="16800"/>
    <n v="7200"/>
    <x v="3"/>
    <x v="0"/>
    <x v="1"/>
    <b v="1"/>
  </r>
  <r>
    <s v="ORD0212"/>
    <x v="154"/>
    <s v="C007"/>
    <x v="19"/>
    <x v="4"/>
    <x v="2"/>
    <x v="0"/>
    <x v="9"/>
    <n v="2"/>
    <n v="3500"/>
    <n v="0"/>
    <n v="7000"/>
    <n v="4800"/>
    <n v="2200"/>
    <x v="3"/>
    <x v="1"/>
    <x v="7"/>
    <b v="1"/>
  </r>
  <r>
    <s v="ORD0213"/>
    <x v="155"/>
    <s v="C018"/>
    <x v="2"/>
    <x v="5"/>
    <x v="0"/>
    <x v="1"/>
    <x v="1"/>
    <n v="5"/>
    <n v="2500"/>
    <n v="0.05"/>
    <n v="11875"/>
    <n v="8500"/>
    <n v="3375"/>
    <x v="1"/>
    <x v="1"/>
    <x v="5"/>
    <b v="1"/>
  </r>
  <r>
    <s v="ORD0214"/>
    <x v="156"/>
    <s v="C014"/>
    <x v="1"/>
    <x v="4"/>
    <x v="2"/>
    <x v="1"/>
    <x v="1"/>
    <n v="4"/>
    <n v="3500"/>
    <n v="0.05"/>
    <n v="13300"/>
    <n v="9600"/>
    <n v="3700"/>
    <x v="0"/>
    <x v="1"/>
    <x v="8"/>
    <b v="1"/>
  </r>
  <r>
    <s v="ORD0215"/>
    <x v="51"/>
    <s v="C017"/>
    <x v="8"/>
    <x v="2"/>
    <x v="1"/>
    <x v="0"/>
    <x v="0"/>
    <n v="2"/>
    <n v="12000"/>
    <n v="0.1"/>
    <n v="21600"/>
    <n v="17000"/>
    <n v="4600"/>
    <x v="0"/>
    <x v="0"/>
    <x v="5"/>
    <b v="1"/>
  </r>
  <r>
    <s v="ORD0216"/>
    <x v="157"/>
    <s v="C005"/>
    <x v="18"/>
    <x v="3"/>
    <x v="1"/>
    <x v="0"/>
    <x v="9"/>
    <n v="2"/>
    <n v="8000"/>
    <n v="0"/>
    <n v="16000"/>
    <n v="11200"/>
    <n v="4800"/>
    <x v="3"/>
    <x v="1"/>
    <x v="8"/>
    <b v="1"/>
  </r>
  <r>
    <s v="ORD0217"/>
    <x v="5"/>
    <s v="C009"/>
    <x v="17"/>
    <x v="7"/>
    <x v="0"/>
    <x v="3"/>
    <x v="3"/>
    <n v="5"/>
    <n v="5000"/>
    <n v="0.05"/>
    <n v="23750"/>
    <n v="17500"/>
    <n v="6250"/>
    <x v="0"/>
    <x v="0"/>
    <x v="4"/>
    <b v="1"/>
  </r>
  <r>
    <s v="ORD0218"/>
    <x v="158"/>
    <s v="C019"/>
    <x v="13"/>
    <x v="5"/>
    <x v="0"/>
    <x v="3"/>
    <x v="4"/>
    <n v="2"/>
    <n v="2500"/>
    <n v="0"/>
    <n v="5000"/>
    <n v="3400"/>
    <n v="1600"/>
    <x v="0"/>
    <x v="0"/>
    <x v="1"/>
    <b v="1"/>
  </r>
  <r>
    <s v="ORD0219"/>
    <x v="124"/>
    <s v="C019"/>
    <x v="13"/>
    <x v="3"/>
    <x v="1"/>
    <x v="2"/>
    <x v="2"/>
    <n v="2"/>
    <n v="8000"/>
    <n v="0"/>
    <n v="16000"/>
    <n v="11200"/>
    <n v="4800"/>
    <x v="1"/>
    <x v="1"/>
    <x v="6"/>
    <b v="1"/>
  </r>
  <r>
    <s v="ORD0220"/>
    <x v="159"/>
    <s v="C010"/>
    <x v="16"/>
    <x v="10"/>
    <x v="4"/>
    <x v="2"/>
    <x v="5"/>
    <n v="2"/>
    <n v="1800"/>
    <n v="0.1"/>
    <n v="3240"/>
    <n v="2200"/>
    <n v="1040"/>
    <x v="0"/>
    <x v="0"/>
    <x v="0"/>
    <b v="1"/>
  </r>
  <r>
    <s v="ORD0221"/>
    <x v="160"/>
    <s v="C015"/>
    <x v="12"/>
    <x v="1"/>
    <x v="1"/>
    <x v="2"/>
    <x v="7"/>
    <n v="4"/>
    <n v="7000"/>
    <n v="0.05"/>
    <n v="26600"/>
    <n v="19200"/>
    <n v="7400"/>
    <x v="2"/>
    <x v="1"/>
    <x v="7"/>
    <b v="1"/>
  </r>
  <r>
    <s v="ORD0222"/>
    <x v="161"/>
    <s v="C012"/>
    <x v="4"/>
    <x v="1"/>
    <x v="1"/>
    <x v="3"/>
    <x v="4"/>
    <n v="2"/>
    <n v="7000"/>
    <n v="0.15"/>
    <n v="11900"/>
    <n v="9600"/>
    <n v="2300"/>
    <x v="0"/>
    <x v="1"/>
    <x v="11"/>
    <b v="1"/>
  </r>
  <r>
    <s v="ORD0223"/>
    <x v="162"/>
    <s v="C015"/>
    <x v="12"/>
    <x v="12"/>
    <x v="0"/>
    <x v="2"/>
    <x v="7"/>
    <n v="3"/>
    <n v="25000"/>
    <n v="0"/>
    <n v="75000"/>
    <n v="61500"/>
    <n v="13500"/>
    <x v="0"/>
    <x v="0"/>
    <x v="10"/>
    <b v="1"/>
  </r>
  <r>
    <s v="ORD0224"/>
    <x v="163"/>
    <s v="C013"/>
    <x v="15"/>
    <x v="6"/>
    <x v="2"/>
    <x v="2"/>
    <x v="7"/>
    <n v="5"/>
    <n v="6000"/>
    <n v="0"/>
    <n v="30000"/>
    <n v="21000"/>
    <n v="9000"/>
    <x v="3"/>
    <x v="1"/>
    <x v="10"/>
    <b v="1"/>
  </r>
  <r>
    <s v="ORD0225"/>
    <x v="164"/>
    <s v="C006"/>
    <x v="6"/>
    <x v="10"/>
    <x v="4"/>
    <x v="2"/>
    <x v="5"/>
    <n v="5"/>
    <n v="1800"/>
    <n v="0.05"/>
    <n v="8550"/>
    <n v="5500"/>
    <n v="3050"/>
    <x v="1"/>
    <x v="0"/>
    <x v="9"/>
    <b v="1"/>
  </r>
  <r>
    <s v="ORD0226"/>
    <x v="101"/>
    <s v="C013"/>
    <x v="15"/>
    <x v="13"/>
    <x v="3"/>
    <x v="0"/>
    <x v="0"/>
    <n v="4"/>
    <n v="3000"/>
    <n v="0.15"/>
    <n v="10200"/>
    <n v="7600"/>
    <n v="2600"/>
    <x v="3"/>
    <x v="0"/>
    <x v="4"/>
    <b v="1"/>
  </r>
  <r>
    <s v="ORD0227"/>
    <x v="165"/>
    <s v="C010"/>
    <x v="16"/>
    <x v="10"/>
    <x v="4"/>
    <x v="2"/>
    <x v="5"/>
    <n v="5"/>
    <n v="1800"/>
    <n v="0.15"/>
    <n v="7650"/>
    <n v="5500"/>
    <n v="2150"/>
    <x v="0"/>
    <x v="0"/>
    <x v="6"/>
    <b v="1"/>
  </r>
  <r>
    <s v="ORD0228"/>
    <x v="97"/>
    <s v="C005"/>
    <x v="18"/>
    <x v="3"/>
    <x v="1"/>
    <x v="2"/>
    <x v="5"/>
    <n v="3"/>
    <n v="8000"/>
    <n v="0"/>
    <n v="24000"/>
    <n v="16800"/>
    <n v="7200"/>
    <x v="1"/>
    <x v="0"/>
    <x v="5"/>
    <b v="1"/>
  </r>
  <r>
    <s v="ORD0229"/>
    <x v="166"/>
    <s v="C018"/>
    <x v="2"/>
    <x v="7"/>
    <x v="0"/>
    <x v="3"/>
    <x v="3"/>
    <n v="3"/>
    <n v="5000"/>
    <n v="0.1"/>
    <n v="13500"/>
    <n v="10500"/>
    <n v="3000"/>
    <x v="1"/>
    <x v="1"/>
    <x v="1"/>
    <b v="1"/>
  </r>
  <r>
    <s v="ORD0230"/>
    <x v="48"/>
    <s v="C020"/>
    <x v="10"/>
    <x v="12"/>
    <x v="0"/>
    <x v="1"/>
    <x v="8"/>
    <n v="2"/>
    <n v="25000"/>
    <n v="0.05"/>
    <n v="47500"/>
    <n v="41000"/>
    <n v="6500"/>
    <x v="3"/>
    <x v="1"/>
    <x v="0"/>
    <b v="1"/>
  </r>
  <r>
    <s v="ORD0231"/>
    <x v="167"/>
    <s v="C007"/>
    <x v="19"/>
    <x v="11"/>
    <x v="3"/>
    <x v="2"/>
    <x v="2"/>
    <n v="5"/>
    <n v="900"/>
    <n v="0"/>
    <n v="4500"/>
    <n v="2500"/>
    <n v="2000"/>
    <x v="0"/>
    <x v="0"/>
    <x v="7"/>
    <b v="1"/>
  </r>
  <r>
    <s v="ORD0232"/>
    <x v="59"/>
    <s v="C011"/>
    <x v="5"/>
    <x v="4"/>
    <x v="2"/>
    <x v="2"/>
    <x v="7"/>
    <n v="4"/>
    <n v="3500"/>
    <n v="0.15"/>
    <n v="11900"/>
    <n v="9600"/>
    <n v="2300"/>
    <x v="2"/>
    <x v="1"/>
    <x v="7"/>
    <b v="1"/>
  </r>
  <r>
    <s v="ORD0233"/>
    <x v="168"/>
    <s v="C011"/>
    <x v="5"/>
    <x v="5"/>
    <x v="0"/>
    <x v="3"/>
    <x v="4"/>
    <n v="4"/>
    <n v="2500"/>
    <n v="0.05"/>
    <n v="9500"/>
    <n v="6800"/>
    <n v="2700"/>
    <x v="1"/>
    <x v="1"/>
    <x v="0"/>
    <b v="1"/>
  </r>
  <r>
    <s v="ORD0234"/>
    <x v="169"/>
    <s v="C001"/>
    <x v="7"/>
    <x v="2"/>
    <x v="1"/>
    <x v="1"/>
    <x v="8"/>
    <n v="3"/>
    <n v="12000"/>
    <n v="0.15"/>
    <n v="30600"/>
    <n v="25500"/>
    <n v="5100"/>
    <x v="3"/>
    <x v="0"/>
    <x v="8"/>
    <b v="1"/>
  </r>
  <r>
    <s v="ORD0235"/>
    <x v="170"/>
    <s v="C016"/>
    <x v="9"/>
    <x v="3"/>
    <x v="1"/>
    <x v="0"/>
    <x v="10"/>
    <n v="5"/>
    <n v="8000"/>
    <n v="0"/>
    <n v="40000"/>
    <n v="28000"/>
    <n v="12000"/>
    <x v="1"/>
    <x v="0"/>
    <x v="0"/>
    <b v="1"/>
  </r>
  <r>
    <s v="ORD0236"/>
    <x v="171"/>
    <s v="C020"/>
    <x v="10"/>
    <x v="4"/>
    <x v="2"/>
    <x v="0"/>
    <x v="10"/>
    <n v="4"/>
    <n v="3500"/>
    <n v="0"/>
    <n v="14000"/>
    <n v="9600"/>
    <n v="4400"/>
    <x v="0"/>
    <x v="0"/>
    <x v="8"/>
    <b v="1"/>
  </r>
  <r>
    <s v="ORD0237"/>
    <x v="164"/>
    <s v="C001"/>
    <x v="7"/>
    <x v="10"/>
    <x v="4"/>
    <x v="2"/>
    <x v="7"/>
    <n v="3"/>
    <n v="1800"/>
    <n v="0.1"/>
    <n v="4860"/>
    <n v="3300"/>
    <n v="1560"/>
    <x v="2"/>
    <x v="1"/>
    <x v="9"/>
    <b v="1"/>
  </r>
  <r>
    <s v="ORD0238"/>
    <x v="132"/>
    <s v="C020"/>
    <x v="10"/>
    <x v="10"/>
    <x v="4"/>
    <x v="0"/>
    <x v="10"/>
    <n v="1"/>
    <n v="1800"/>
    <n v="0"/>
    <n v="1800"/>
    <n v="1100"/>
    <n v="700"/>
    <x v="3"/>
    <x v="1"/>
    <x v="8"/>
    <b v="1"/>
  </r>
  <r>
    <s v="ORD0239"/>
    <x v="156"/>
    <s v="C013"/>
    <x v="15"/>
    <x v="2"/>
    <x v="1"/>
    <x v="2"/>
    <x v="2"/>
    <n v="2"/>
    <n v="12000"/>
    <n v="0.05"/>
    <n v="22800"/>
    <n v="17000"/>
    <n v="5800"/>
    <x v="3"/>
    <x v="1"/>
    <x v="8"/>
    <b v="1"/>
  </r>
  <r>
    <s v="ORD0240"/>
    <x v="172"/>
    <s v="C016"/>
    <x v="9"/>
    <x v="7"/>
    <x v="0"/>
    <x v="3"/>
    <x v="4"/>
    <n v="2"/>
    <n v="5000"/>
    <n v="0.05"/>
    <n v="9500"/>
    <n v="7000"/>
    <n v="2500"/>
    <x v="2"/>
    <x v="1"/>
    <x v="0"/>
    <b v="1"/>
  </r>
  <r>
    <s v="ORD0241"/>
    <x v="143"/>
    <s v="C007"/>
    <x v="19"/>
    <x v="8"/>
    <x v="2"/>
    <x v="3"/>
    <x v="6"/>
    <n v="4"/>
    <n v="4500"/>
    <n v="0.05"/>
    <n v="17100"/>
    <n v="12400"/>
    <n v="4700"/>
    <x v="3"/>
    <x v="1"/>
    <x v="10"/>
    <b v="1"/>
  </r>
  <r>
    <s v="ORD0242"/>
    <x v="154"/>
    <s v="C019"/>
    <x v="13"/>
    <x v="9"/>
    <x v="3"/>
    <x v="2"/>
    <x v="5"/>
    <n v="5"/>
    <n v="1800"/>
    <n v="0.05"/>
    <n v="8550"/>
    <n v="5500"/>
    <n v="3050"/>
    <x v="2"/>
    <x v="1"/>
    <x v="7"/>
    <b v="1"/>
  </r>
  <r>
    <s v="ORD0243"/>
    <x v="173"/>
    <s v="C010"/>
    <x v="16"/>
    <x v="8"/>
    <x v="2"/>
    <x v="3"/>
    <x v="6"/>
    <n v="1"/>
    <n v="4500"/>
    <n v="0.05"/>
    <n v="4275"/>
    <n v="3100"/>
    <n v="1175"/>
    <x v="1"/>
    <x v="0"/>
    <x v="6"/>
    <b v="1"/>
  </r>
  <r>
    <s v="ORD0244"/>
    <x v="174"/>
    <s v="C018"/>
    <x v="2"/>
    <x v="3"/>
    <x v="1"/>
    <x v="3"/>
    <x v="3"/>
    <n v="5"/>
    <n v="8000"/>
    <n v="0"/>
    <n v="40000"/>
    <n v="28000"/>
    <n v="12000"/>
    <x v="2"/>
    <x v="0"/>
    <x v="9"/>
    <b v="1"/>
  </r>
  <r>
    <s v="ORD0245"/>
    <x v="165"/>
    <s v="C017"/>
    <x v="8"/>
    <x v="7"/>
    <x v="0"/>
    <x v="1"/>
    <x v="1"/>
    <n v="2"/>
    <n v="5000"/>
    <n v="0.1"/>
    <n v="9000"/>
    <n v="7000"/>
    <n v="2000"/>
    <x v="3"/>
    <x v="1"/>
    <x v="6"/>
    <b v="1"/>
  </r>
  <r>
    <s v="ORD0246"/>
    <x v="175"/>
    <s v="C005"/>
    <x v="18"/>
    <x v="0"/>
    <x v="0"/>
    <x v="0"/>
    <x v="9"/>
    <n v="5"/>
    <n v="55000"/>
    <n v="0.1"/>
    <n v="247500"/>
    <n v="225000"/>
    <n v="22500"/>
    <x v="1"/>
    <x v="0"/>
    <x v="4"/>
    <b v="1"/>
  </r>
  <r>
    <s v="ORD0247"/>
    <x v="143"/>
    <s v="C011"/>
    <x v="5"/>
    <x v="3"/>
    <x v="1"/>
    <x v="1"/>
    <x v="11"/>
    <n v="1"/>
    <n v="8000"/>
    <n v="0.15"/>
    <n v="6800"/>
    <n v="5600"/>
    <n v="1200"/>
    <x v="2"/>
    <x v="0"/>
    <x v="10"/>
    <b v="1"/>
  </r>
  <r>
    <s v="ORD0248"/>
    <x v="110"/>
    <s v="C014"/>
    <x v="1"/>
    <x v="6"/>
    <x v="2"/>
    <x v="1"/>
    <x v="8"/>
    <n v="2"/>
    <n v="6000"/>
    <n v="0.1"/>
    <n v="10800"/>
    <n v="8400"/>
    <n v="2400"/>
    <x v="2"/>
    <x v="1"/>
    <x v="7"/>
    <b v="1"/>
  </r>
  <r>
    <s v="ORD0249"/>
    <x v="142"/>
    <s v="C001"/>
    <x v="7"/>
    <x v="3"/>
    <x v="1"/>
    <x v="1"/>
    <x v="8"/>
    <n v="5"/>
    <n v="8000"/>
    <n v="0.05"/>
    <n v="38000"/>
    <n v="28000"/>
    <n v="10000"/>
    <x v="1"/>
    <x v="1"/>
    <x v="6"/>
    <b v="1"/>
  </r>
  <r>
    <s v="ORD0250"/>
    <x v="176"/>
    <s v="C017"/>
    <x v="8"/>
    <x v="10"/>
    <x v="4"/>
    <x v="0"/>
    <x v="0"/>
    <n v="3"/>
    <n v="1800"/>
    <n v="0.05"/>
    <n v="5130"/>
    <n v="3300"/>
    <n v="1830"/>
    <x v="2"/>
    <x v="1"/>
    <x v="7"/>
    <b v="1"/>
  </r>
  <r>
    <s v="ORD0251"/>
    <x v="177"/>
    <s v="C009"/>
    <x v="17"/>
    <x v="8"/>
    <x v="2"/>
    <x v="1"/>
    <x v="11"/>
    <n v="2"/>
    <n v="4500"/>
    <n v="0.05"/>
    <n v="8550"/>
    <n v="6200"/>
    <n v="2350"/>
    <x v="3"/>
    <x v="0"/>
    <x v="0"/>
    <b v="1"/>
  </r>
  <r>
    <s v="ORD0252"/>
    <x v="110"/>
    <s v="C020"/>
    <x v="10"/>
    <x v="6"/>
    <x v="2"/>
    <x v="2"/>
    <x v="2"/>
    <n v="4"/>
    <n v="6000"/>
    <n v="0.05"/>
    <n v="22800"/>
    <n v="16800"/>
    <n v="6000"/>
    <x v="0"/>
    <x v="1"/>
    <x v="7"/>
    <b v="1"/>
  </r>
  <r>
    <s v="ORD0253"/>
    <x v="178"/>
    <s v="C004"/>
    <x v="0"/>
    <x v="5"/>
    <x v="0"/>
    <x v="2"/>
    <x v="5"/>
    <n v="2"/>
    <n v="2500"/>
    <n v="0"/>
    <n v="5000"/>
    <n v="3400"/>
    <n v="1600"/>
    <x v="0"/>
    <x v="1"/>
    <x v="2"/>
    <b v="1"/>
  </r>
  <r>
    <s v="ORD0254"/>
    <x v="179"/>
    <s v="C008"/>
    <x v="3"/>
    <x v="10"/>
    <x v="4"/>
    <x v="3"/>
    <x v="6"/>
    <n v="3"/>
    <n v="1800"/>
    <n v="0.15"/>
    <n v="4590"/>
    <n v="3300"/>
    <n v="1290"/>
    <x v="0"/>
    <x v="1"/>
    <x v="3"/>
    <b v="1"/>
  </r>
  <r>
    <s v="ORD0255"/>
    <x v="180"/>
    <s v="C012"/>
    <x v="4"/>
    <x v="8"/>
    <x v="2"/>
    <x v="1"/>
    <x v="11"/>
    <n v="2"/>
    <n v="4500"/>
    <n v="0"/>
    <n v="9000"/>
    <n v="6200"/>
    <n v="2800"/>
    <x v="1"/>
    <x v="1"/>
    <x v="2"/>
    <b v="1"/>
  </r>
  <r>
    <s v="ORD0256"/>
    <x v="57"/>
    <s v="C013"/>
    <x v="15"/>
    <x v="9"/>
    <x v="3"/>
    <x v="3"/>
    <x v="4"/>
    <n v="5"/>
    <n v="1800"/>
    <n v="0"/>
    <n v="9000"/>
    <n v="5500"/>
    <n v="3500"/>
    <x v="3"/>
    <x v="1"/>
    <x v="7"/>
    <b v="1"/>
  </r>
  <r>
    <s v="ORD0257"/>
    <x v="181"/>
    <s v="C008"/>
    <x v="3"/>
    <x v="7"/>
    <x v="0"/>
    <x v="2"/>
    <x v="7"/>
    <n v="2"/>
    <n v="5000"/>
    <n v="0.1"/>
    <n v="9000"/>
    <n v="7000"/>
    <n v="2000"/>
    <x v="3"/>
    <x v="1"/>
    <x v="0"/>
    <b v="1"/>
  </r>
  <r>
    <s v="ORD0258"/>
    <x v="42"/>
    <s v="C018"/>
    <x v="2"/>
    <x v="10"/>
    <x v="4"/>
    <x v="0"/>
    <x v="0"/>
    <n v="5"/>
    <n v="1800"/>
    <n v="0.15"/>
    <n v="7650"/>
    <n v="5500"/>
    <n v="2150"/>
    <x v="0"/>
    <x v="1"/>
    <x v="2"/>
    <b v="1"/>
  </r>
  <r>
    <s v="ORD0259"/>
    <x v="18"/>
    <s v="C012"/>
    <x v="4"/>
    <x v="12"/>
    <x v="0"/>
    <x v="1"/>
    <x v="1"/>
    <n v="5"/>
    <n v="25000"/>
    <n v="0.15"/>
    <n v="106250"/>
    <n v="102500"/>
    <n v="3750"/>
    <x v="2"/>
    <x v="0"/>
    <x v="8"/>
    <b v="1"/>
  </r>
  <r>
    <s v="ORD0260"/>
    <x v="83"/>
    <s v="C011"/>
    <x v="5"/>
    <x v="6"/>
    <x v="2"/>
    <x v="2"/>
    <x v="7"/>
    <n v="5"/>
    <n v="6000"/>
    <n v="0"/>
    <n v="30000"/>
    <n v="21000"/>
    <n v="9000"/>
    <x v="1"/>
    <x v="0"/>
    <x v="7"/>
    <b v="1"/>
  </r>
  <r>
    <s v="ORD0261"/>
    <x v="182"/>
    <s v="C015"/>
    <x v="12"/>
    <x v="4"/>
    <x v="2"/>
    <x v="2"/>
    <x v="7"/>
    <n v="1"/>
    <n v="3500"/>
    <n v="0.15"/>
    <n v="2975"/>
    <n v="2400"/>
    <n v="575"/>
    <x v="1"/>
    <x v="1"/>
    <x v="8"/>
    <b v="1"/>
  </r>
  <r>
    <s v="ORD0262"/>
    <x v="183"/>
    <s v="C002"/>
    <x v="11"/>
    <x v="13"/>
    <x v="3"/>
    <x v="3"/>
    <x v="4"/>
    <n v="4"/>
    <n v="3000"/>
    <n v="0"/>
    <n v="12000"/>
    <n v="7600"/>
    <n v="4400"/>
    <x v="1"/>
    <x v="1"/>
    <x v="1"/>
    <b v="1"/>
  </r>
  <r>
    <s v="ORD0263"/>
    <x v="184"/>
    <s v="C007"/>
    <x v="19"/>
    <x v="11"/>
    <x v="3"/>
    <x v="1"/>
    <x v="8"/>
    <n v="1"/>
    <n v="900"/>
    <n v="0.05"/>
    <n v="855"/>
    <n v="500"/>
    <n v="355"/>
    <x v="0"/>
    <x v="0"/>
    <x v="6"/>
    <b v="1"/>
  </r>
  <r>
    <s v="ORD0264"/>
    <x v="31"/>
    <s v="C016"/>
    <x v="9"/>
    <x v="0"/>
    <x v="0"/>
    <x v="2"/>
    <x v="7"/>
    <n v="3"/>
    <n v="55000"/>
    <n v="0"/>
    <n v="165000"/>
    <n v="135000"/>
    <n v="30000"/>
    <x v="1"/>
    <x v="1"/>
    <x v="4"/>
    <b v="1"/>
  </r>
  <r>
    <s v="ORD0265"/>
    <x v="185"/>
    <s v="C015"/>
    <x v="12"/>
    <x v="6"/>
    <x v="2"/>
    <x v="2"/>
    <x v="7"/>
    <n v="4"/>
    <n v="6000"/>
    <n v="0.15"/>
    <n v="20400"/>
    <n v="16800"/>
    <n v="3600"/>
    <x v="2"/>
    <x v="1"/>
    <x v="3"/>
    <b v="1"/>
  </r>
  <r>
    <s v="ORD0266"/>
    <x v="186"/>
    <s v="C006"/>
    <x v="6"/>
    <x v="13"/>
    <x v="3"/>
    <x v="0"/>
    <x v="10"/>
    <n v="4"/>
    <n v="3000"/>
    <n v="0"/>
    <n v="12000"/>
    <n v="7600"/>
    <n v="4400"/>
    <x v="0"/>
    <x v="0"/>
    <x v="7"/>
    <b v="1"/>
  </r>
  <r>
    <s v="ORD0267"/>
    <x v="79"/>
    <s v="C015"/>
    <x v="12"/>
    <x v="9"/>
    <x v="3"/>
    <x v="2"/>
    <x v="2"/>
    <n v="5"/>
    <n v="1800"/>
    <n v="0.1"/>
    <n v="8100"/>
    <n v="5500"/>
    <n v="2600"/>
    <x v="2"/>
    <x v="0"/>
    <x v="11"/>
    <b v="1"/>
  </r>
  <r>
    <s v="ORD0268"/>
    <x v="187"/>
    <s v="C012"/>
    <x v="4"/>
    <x v="5"/>
    <x v="0"/>
    <x v="0"/>
    <x v="10"/>
    <n v="3"/>
    <n v="2500"/>
    <n v="0"/>
    <n v="7500"/>
    <n v="5100"/>
    <n v="2400"/>
    <x v="0"/>
    <x v="1"/>
    <x v="5"/>
    <b v="1"/>
  </r>
  <r>
    <s v="ORD0269"/>
    <x v="181"/>
    <s v="C001"/>
    <x v="7"/>
    <x v="7"/>
    <x v="0"/>
    <x v="1"/>
    <x v="1"/>
    <n v="2"/>
    <n v="5000"/>
    <n v="0.15"/>
    <n v="8500"/>
    <n v="7000"/>
    <n v="1500"/>
    <x v="0"/>
    <x v="1"/>
    <x v="0"/>
    <b v="1"/>
  </r>
  <r>
    <s v="ORD0270"/>
    <x v="188"/>
    <s v="C002"/>
    <x v="11"/>
    <x v="7"/>
    <x v="0"/>
    <x v="2"/>
    <x v="5"/>
    <n v="1"/>
    <n v="5000"/>
    <n v="0"/>
    <n v="5000"/>
    <n v="3500"/>
    <n v="1500"/>
    <x v="2"/>
    <x v="0"/>
    <x v="0"/>
    <b v="1"/>
  </r>
  <r>
    <s v="ORD0271"/>
    <x v="11"/>
    <s v="C017"/>
    <x v="8"/>
    <x v="3"/>
    <x v="1"/>
    <x v="3"/>
    <x v="4"/>
    <n v="2"/>
    <n v="8000"/>
    <n v="0.15"/>
    <n v="13600"/>
    <n v="11200"/>
    <n v="2400"/>
    <x v="3"/>
    <x v="0"/>
    <x v="7"/>
    <b v="1"/>
  </r>
  <r>
    <s v="ORD0272"/>
    <x v="189"/>
    <s v="C005"/>
    <x v="18"/>
    <x v="9"/>
    <x v="3"/>
    <x v="0"/>
    <x v="9"/>
    <n v="5"/>
    <n v="1800"/>
    <n v="0.05"/>
    <n v="8550"/>
    <n v="5500"/>
    <n v="3050"/>
    <x v="3"/>
    <x v="0"/>
    <x v="11"/>
    <b v="1"/>
  </r>
  <r>
    <s v="ORD0273"/>
    <x v="190"/>
    <s v="C019"/>
    <x v="13"/>
    <x v="8"/>
    <x v="2"/>
    <x v="2"/>
    <x v="2"/>
    <n v="2"/>
    <n v="4500"/>
    <n v="0.1"/>
    <n v="8100"/>
    <n v="6200"/>
    <n v="1900"/>
    <x v="0"/>
    <x v="1"/>
    <x v="1"/>
    <b v="1"/>
  </r>
  <r>
    <s v="ORD0274"/>
    <x v="147"/>
    <s v="C013"/>
    <x v="15"/>
    <x v="4"/>
    <x v="2"/>
    <x v="3"/>
    <x v="4"/>
    <n v="5"/>
    <n v="3500"/>
    <n v="0.1"/>
    <n v="15750"/>
    <n v="12000"/>
    <n v="3750"/>
    <x v="1"/>
    <x v="0"/>
    <x v="0"/>
    <b v="1"/>
  </r>
  <r>
    <s v="ORD0275"/>
    <x v="191"/>
    <s v="C013"/>
    <x v="15"/>
    <x v="5"/>
    <x v="0"/>
    <x v="2"/>
    <x v="7"/>
    <n v="5"/>
    <n v="2500"/>
    <n v="0"/>
    <n v="12500"/>
    <n v="8500"/>
    <n v="4000"/>
    <x v="3"/>
    <x v="0"/>
    <x v="11"/>
    <b v="1"/>
  </r>
  <r>
    <s v="ORD0276"/>
    <x v="192"/>
    <s v="C002"/>
    <x v="11"/>
    <x v="13"/>
    <x v="3"/>
    <x v="2"/>
    <x v="2"/>
    <n v="4"/>
    <n v="3000"/>
    <n v="0.15"/>
    <n v="10200"/>
    <n v="7600"/>
    <n v="2600"/>
    <x v="2"/>
    <x v="1"/>
    <x v="5"/>
    <b v="1"/>
  </r>
  <r>
    <s v="ORD0277"/>
    <x v="193"/>
    <s v="C009"/>
    <x v="17"/>
    <x v="7"/>
    <x v="0"/>
    <x v="1"/>
    <x v="8"/>
    <n v="3"/>
    <n v="5000"/>
    <n v="0.05"/>
    <n v="14250"/>
    <n v="10500"/>
    <n v="3750"/>
    <x v="0"/>
    <x v="0"/>
    <x v="10"/>
    <b v="1"/>
  </r>
  <r>
    <s v="ORD0278"/>
    <x v="36"/>
    <s v="C009"/>
    <x v="17"/>
    <x v="1"/>
    <x v="1"/>
    <x v="1"/>
    <x v="1"/>
    <n v="5"/>
    <n v="7000"/>
    <n v="0"/>
    <n v="35000"/>
    <n v="24000"/>
    <n v="11000"/>
    <x v="2"/>
    <x v="1"/>
    <x v="6"/>
    <b v="1"/>
  </r>
  <r>
    <s v="ORD0279"/>
    <x v="194"/>
    <s v="C011"/>
    <x v="5"/>
    <x v="3"/>
    <x v="1"/>
    <x v="0"/>
    <x v="0"/>
    <n v="1"/>
    <n v="8000"/>
    <n v="0"/>
    <n v="8000"/>
    <n v="5600"/>
    <n v="2400"/>
    <x v="1"/>
    <x v="0"/>
    <x v="9"/>
    <b v="1"/>
  </r>
  <r>
    <s v="ORD0280"/>
    <x v="195"/>
    <s v="C020"/>
    <x v="10"/>
    <x v="8"/>
    <x v="2"/>
    <x v="2"/>
    <x v="7"/>
    <n v="2"/>
    <n v="4500"/>
    <n v="0.15"/>
    <n v="7650"/>
    <n v="6200"/>
    <n v="1450"/>
    <x v="3"/>
    <x v="1"/>
    <x v="2"/>
    <b v="1"/>
  </r>
  <r>
    <s v="ORD0281"/>
    <x v="4"/>
    <s v="C015"/>
    <x v="12"/>
    <x v="13"/>
    <x v="3"/>
    <x v="3"/>
    <x v="6"/>
    <n v="3"/>
    <n v="3000"/>
    <n v="0.05"/>
    <n v="8550"/>
    <n v="5700"/>
    <n v="2850"/>
    <x v="1"/>
    <x v="1"/>
    <x v="3"/>
    <b v="1"/>
  </r>
  <r>
    <s v="ORD0282"/>
    <x v="196"/>
    <s v="C016"/>
    <x v="9"/>
    <x v="4"/>
    <x v="2"/>
    <x v="0"/>
    <x v="9"/>
    <n v="3"/>
    <n v="3500"/>
    <n v="0.05"/>
    <n v="9975"/>
    <n v="7200"/>
    <n v="2775"/>
    <x v="1"/>
    <x v="0"/>
    <x v="4"/>
    <b v="1"/>
  </r>
  <r>
    <s v="ORD0283"/>
    <x v="183"/>
    <s v="C008"/>
    <x v="3"/>
    <x v="8"/>
    <x v="2"/>
    <x v="1"/>
    <x v="8"/>
    <n v="2"/>
    <n v="4500"/>
    <n v="0.15"/>
    <n v="7650"/>
    <n v="6200"/>
    <n v="1450"/>
    <x v="1"/>
    <x v="1"/>
    <x v="1"/>
    <b v="1"/>
  </r>
  <r>
    <s v="ORD0284"/>
    <x v="197"/>
    <s v="C007"/>
    <x v="19"/>
    <x v="2"/>
    <x v="1"/>
    <x v="2"/>
    <x v="2"/>
    <n v="2"/>
    <n v="12000"/>
    <n v="0"/>
    <n v="24000"/>
    <n v="17000"/>
    <n v="7000"/>
    <x v="1"/>
    <x v="1"/>
    <x v="7"/>
    <b v="1"/>
  </r>
  <r>
    <s v="ORD0285"/>
    <x v="198"/>
    <s v="C016"/>
    <x v="9"/>
    <x v="8"/>
    <x v="2"/>
    <x v="2"/>
    <x v="7"/>
    <n v="4"/>
    <n v="4500"/>
    <n v="0.05"/>
    <n v="17100"/>
    <n v="12400"/>
    <n v="4700"/>
    <x v="2"/>
    <x v="0"/>
    <x v="10"/>
    <b v="1"/>
  </r>
  <r>
    <s v="ORD0286"/>
    <x v="199"/>
    <s v="C016"/>
    <x v="9"/>
    <x v="5"/>
    <x v="0"/>
    <x v="1"/>
    <x v="11"/>
    <n v="5"/>
    <n v="2500"/>
    <n v="0"/>
    <n v="12500"/>
    <n v="8500"/>
    <n v="4000"/>
    <x v="0"/>
    <x v="0"/>
    <x v="1"/>
    <b v="1"/>
  </r>
  <r>
    <s v="ORD0287"/>
    <x v="121"/>
    <s v="C014"/>
    <x v="1"/>
    <x v="5"/>
    <x v="0"/>
    <x v="1"/>
    <x v="11"/>
    <n v="2"/>
    <n v="2500"/>
    <n v="0"/>
    <n v="5000"/>
    <n v="3400"/>
    <n v="1600"/>
    <x v="0"/>
    <x v="0"/>
    <x v="6"/>
    <b v="1"/>
  </r>
  <r>
    <s v="ORD0288"/>
    <x v="115"/>
    <s v="C015"/>
    <x v="12"/>
    <x v="2"/>
    <x v="1"/>
    <x v="2"/>
    <x v="2"/>
    <n v="1"/>
    <n v="12000"/>
    <n v="0.1"/>
    <n v="10800"/>
    <n v="8500"/>
    <n v="2300"/>
    <x v="0"/>
    <x v="0"/>
    <x v="8"/>
    <b v="1"/>
  </r>
  <r>
    <s v="ORD0289"/>
    <x v="200"/>
    <s v="C018"/>
    <x v="2"/>
    <x v="1"/>
    <x v="1"/>
    <x v="1"/>
    <x v="11"/>
    <n v="1"/>
    <n v="7000"/>
    <n v="0.05"/>
    <n v="6650"/>
    <n v="4800"/>
    <n v="1850"/>
    <x v="3"/>
    <x v="0"/>
    <x v="8"/>
    <b v="1"/>
  </r>
  <r>
    <s v="ORD0290"/>
    <x v="201"/>
    <s v="C014"/>
    <x v="1"/>
    <x v="4"/>
    <x v="2"/>
    <x v="1"/>
    <x v="1"/>
    <n v="2"/>
    <n v="3500"/>
    <n v="0.15"/>
    <n v="5950"/>
    <n v="4800"/>
    <n v="1150"/>
    <x v="2"/>
    <x v="0"/>
    <x v="8"/>
    <b v="1"/>
  </r>
  <r>
    <s v="ORD0291"/>
    <x v="137"/>
    <s v="C020"/>
    <x v="10"/>
    <x v="13"/>
    <x v="3"/>
    <x v="3"/>
    <x v="6"/>
    <n v="3"/>
    <n v="3000"/>
    <n v="0.1"/>
    <n v="8100"/>
    <n v="5700"/>
    <n v="2400"/>
    <x v="0"/>
    <x v="1"/>
    <x v="9"/>
    <b v="1"/>
  </r>
  <r>
    <s v="ORD0292"/>
    <x v="50"/>
    <s v="C015"/>
    <x v="12"/>
    <x v="11"/>
    <x v="3"/>
    <x v="0"/>
    <x v="9"/>
    <n v="2"/>
    <n v="900"/>
    <n v="0"/>
    <n v="1800"/>
    <n v="1000"/>
    <n v="800"/>
    <x v="0"/>
    <x v="0"/>
    <x v="3"/>
    <b v="1"/>
  </r>
  <r>
    <s v="ORD0293"/>
    <x v="50"/>
    <s v="C013"/>
    <x v="15"/>
    <x v="1"/>
    <x v="1"/>
    <x v="2"/>
    <x v="7"/>
    <n v="5"/>
    <n v="7000"/>
    <n v="0"/>
    <n v="35000"/>
    <n v="24000"/>
    <n v="11000"/>
    <x v="2"/>
    <x v="0"/>
    <x v="3"/>
    <b v="1"/>
  </r>
  <r>
    <s v="ORD0294"/>
    <x v="202"/>
    <s v="C014"/>
    <x v="1"/>
    <x v="9"/>
    <x v="3"/>
    <x v="1"/>
    <x v="11"/>
    <n v="3"/>
    <n v="1800"/>
    <n v="0"/>
    <n v="5400"/>
    <n v="3300"/>
    <n v="2100"/>
    <x v="2"/>
    <x v="0"/>
    <x v="8"/>
    <b v="1"/>
  </r>
  <r>
    <s v="ORD0295"/>
    <x v="203"/>
    <s v="C019"/>
    <x v="13"/>
    <x v="10"/>
    <x v="4"/>
    <x v="1"/>
    <x v="1"/>
    <n v="3"/>
    <n v="1800"/>
    <n v="0.05"/>
    <n v="5130"/>
    <n v="3300"/>
    <n v="1830"/>
    <x v="0"/>
    <x v="0"/>
    <x v="2"/>
    <b v="1"/>
  </r>
  <r>
    <s v="ORD0296"/>
    <x v="204"/>
    <s v="C001"/>
    <x v="7"/>
    <x v="7"/>
    <x v="0"/>
    <x v="0"/>
    <x v="10"/>
    <n v="5"/>
    <n v="5000"/>
    <n v="0.1"/>
    <n v="22500"/>
    <n v="17500"/>
    <n v="5000"/>
    <x v="0"/>
    <x v="1"/>
    <x v="11"/>
    <b v="1"/>
  </r>
  <r>
    <s v="ORD0297"/>
    <x v="205"/>
    <s v="C019"/>
    <x v="13"/>
    <x v="7"/>
    <x v="0"/>
    <x v="2"/>
    <x v="2"/>
    <n v="5"/>
    <n v="5000"/>
    <n v="0.15"/>
    <n v="21250"/>
    <n v="17500"/>
    <n v="3750"/>
    <x v="3"/>
    <x v="1"/>
    <x v="7"/>
    <b v="1"/>
  </r>
  <r>
    <s v="ORD0298"/>
    <x v="11"/>
    <s v="C003"/>
    <x v="14"/>
    <x v="13"/>
    <x v="3"/>
    <x v="1"/>
    <x v="1"/>
    <n v="3"/>
    <n v="3000"/>
    <n v="0.1"/>
    <n v="8100"/>
    <n v="5700"/>
    <n v="2400"/>
    <x v="2"/>
    <x v="0"/>
    <x v="7"/>
    <b v="1"/>
  </r>
  <r>
    <s v="ORD0299"/>
    <x v="71"/>
    <s v="C020"/>
    <x v="10"/>
    <x v="4"/>
    <x v="2"/>
    <x v="2"/>
    <x v="5"/>
    <n v="5"/>
    <n v="3500"/>
    <n v="0"/>
    <n v="17500"/>
    <n v="12000"/>
    <n v="5500"/>
    <x v="3"/>
    <x v="1"/>
    <x v="11"/>
    <b v="1"/>
  </r>
  <r>
    <s v="ORD0300"/>
    <x v="206"/>
    <s v="C008"/>
    <x v="3"/>
    <x v="2"/>
    <x v="1"/>
    <x v="2"/>
    <x v="5"/>
    <n v="5"/>
    <n v="12000"/>
    <n v="0"/>
    <n v="60000"/>
    <n v="42500"/>
    <n v="17500"/>
    <x v="1"/>
    <x v="0"/>
    <x v="8"/>
    <b v="1"/>
  </r>
  <r>
    <s v="ORD0301"/>
    <x v="138"/>
    <s v="C010"/>
    <x v="16"/>
    <x v="4"/>
    <x v="2"/>
    <x v="1"/>
    <x v="1"/>
    <n v="2"/>
    <n v="3500"/>
    <n v="0.05"/>
    <n v="6650"/>
    <n v="4800"/>
    <n v="1850"/>
    <x v="2"/>
    <x v="1"/>
    <x v="0"/>
    <b v="1"/>
  </r>
  <r>
    <s v="ORD0302"/>
    <x v="207"/>
    <s v="C005"/>
    <x v="18"/>
    <x v="8"/>
    <x v="2"/>
    <x v="3"/>
    <x v="6"/>
    <n v="4"/>
    <n v="4500"/>
    <n v="0"/>
    <n v="18000"/>
    <n v="12400"/>
    <n v="5600"/>
    <x v="0"/>
    <x v="0"/>
    <x v="2"/>
    <b v="1"/>
  </r>
  <r>
    <s v="ORD0303"/>
    <x v="208"/>
    <s v="C015"/>
    <x v="12"/>
    <x v="2"/>
    <x v="1"/>
    <x v="1"/>
    <x v="1"/>
    <n v="3"/>
    <n v="12000"/>
    <n v="0"/>
    <n v="36000"/>
    <n v="25500"/>
    <n v="10500"/>
    <x v="2"/>
    <x v="1"/>
    <x v="11"/>
    <b v="1"/>
  </r>
  <r>
    <s v="ORD0304"/>
    <x v="111"/>
    <s v="C018"/>
    <x v="2"/>
    <x v="13"/>
    <x v="3"/>
    <x v="2"/>
    <x v="7"/>
    <n v="5"/>
    <n v="3000"/>
    <n v="0"/>
    <n v="15000"/>
    <n v="9500"/>
    <n v="5500"/>
    <x v="0"/>
    <x v="1"/>
    <x v="5"/>
    <b v="1"/>
  </r>
  <r>
    <s v="ORD0305"/>
    <x v="14"/>
    <s v="C003"/>
    <x v="14"/>
    <x v="11"/>
    <x v="3"/>
    <x v="3"/>
    <x v="6"/>
    <n v="5"/>
    <n v="900"/>
    <n v="0"/>
    <n v="4500"/>
    <n v="2500"/>
    <n v="2000"/>
    <x v="3"/>
    <x v="1"/>
    <x v="1"/>
    <b v="1"/>
  </r>
  <r>
    <s v="ORD0306"/>
    <x v="209"/>
    <s v="C003"/>
    <x v="14"/>
    <x v="8"/>
    <x v="2"/>
    <x v="0"/>
    <x v="10"/>
    <n v="5"/>
    <n v="4500"/>
    <n v="0.15"/>
    <n v="19125"/>
    <n v="15500"/>
    <n v="3625"/>
    <x v="2"/>
    <x v="1"/>
    <x v="3"/>
    <b v="1"/>
  </r>
  <r>
    <s v="ORD0307"/>
    <x v="210"/>
    <s v="C005"/>
    <x v="18"/>
    <x v="3"/>
    <x v="1"/>
    <x v="3"/>
    <x v="6"/>
    <n v="3"/>
    <n v="8000"/>
    <n v="0"/>
    <n v="24000"/>
    <n v="16800"/>
    <n v="7200"/>
    <x v="0"/>
    <x v="0"/>
    <x v="7"/>
    <b v="1"/>
  </r>
  <r>
    <s v="ORD0308"/>
    <x v="15"/>
    <s v="C009"/>
    <x v="17"/>
    <x v="1"/>
    <x v="1"/>
    <x v="2"/>
    <x v="7"/>
    <n v="3"/>
    <n v="7000"/>
    <n v="0.05"/>
    <n v="19950"/>
    <n v="14400"/>
    <n v="5550"/>
    <x v="3"/>
    <x v="0"/>
    <x v="5"/>
    <b v="1"/>
  </r>
  <r>
    <s v="ORD0309"/>
    <x v="211"/>
    <s v="C016"/>
    <x v="9"/>
    <x v="11"/>
    <x v="3"/>
    <x v="0"/>
    <x v="9"/>
    <n v="5"/>
    <n v="900"/>
    <n v="0"/>
    <n v="4500"/>
    <n v="2500"/>
    <n v="2000"/>
    <x v="2"/>
    <x v="1"/>
    <x v="0"/>
    <b v="1"/>
  </r>
  <r>
    <s v="ORD0310"/>
    <x v="121"/>
    <s v="C013"/>
    <x v="15"/>
    <x v="2"/>
    <x v="1"/>
    <x v="2"/>
    <x v="5"/>
    <n v="5"/>
    <n v="12000"/>
    <n v="0.1"/>
    <n v="54000"/>
    <n v="42500"/>
    <n v="11500"/>
    <x v="3"/>
    <x v="1"/>
    <x v="6"/>
    <b v="1"/>
  </r>
  <r>
    <s v="ORD0311"/>
    <x v="212"/>
    <s v="C020"/>
    <x v="10"/>
    <x v="5"/>
    <x v="0"/>
    <x v="3"/>
    <x v="4"/>
    <n v="3"/>
    <n v="2500"/>
    <n v="0"/>
    <n v="7500"/>
    <n v="5100"/>
    <n v="2400"/>
    <x v="1"/>
    <x v="1"/>
    <x v="0"/>
    <b v="1"/>
  </r>
  <r>
    <s v="ORD0312"/>
    <x v="213"/>
    <s v="C013"/>
    <x v="15"/>
    <x v="2"/>
    <x v="1"/>
    <x v="2"/>
    <x v="2"/>
    <n v="3"/>
    <n v="12000"/>
    <n v="0"/>
    <n v="36000"/>
    <n v="25500"/>
    <n v="10500"/>
    <x v="3"/>
    <x v="1"/>
    <x v="9"/>
    <b v="1"/>
  </r>
  <r>
    <s v="ORD0313"/>
    <x v="214"/>
    <s v="C013"/>
    <x v="15"/>
    <x v="2"/>
    <x v="1"/>
    <x v="0"/>
    <x v="10"/>
    <n v="1"/>
    <n v="12000"/>
    <n v="0.15"/>
    <n v="10200"/>
    <n v="8500"/>
    <n v="1700"/>
    <x v="2"/>
    <x v="0"/>
    <x v="10"/>
    <b v="1"/>
  </r>
  <r>
    <s v="ORD0314"/>
    <x v="98"/>
    <s v="C007"/>
    <x v="19"/>
    <x v="10"/>
    <x v="4"/>
    <x v="1"/>
    <x v="8"/>
    <n v="3"/>
    <n v="1800"/>
    <n v="0.1"/>
    <n v="4860"/>
    <n v="3300"/>
    <n v="1560"/>
    <x v="2"/>
    <x v="1"/>
    <x v="5"/>
    <b v="1"/>
  </r>
  <r>
    <s v="ORD0315"/>
    <x v="162"/>
    <s v="C009"/>
    <x v="17"/>
    <x v="9"/>
    <x v="3"/>
    <x v="2"/>
    <x v="5"/>
    <n v="2"/>
    <n v="1800"/>
    <n v="0"/>
    <n v="3600"/>
    <n v="2200"/>
    <n v="1400"/>
    <x v="1"/>
    <x v="1"/>
    <x v="10"/>
    <b v="1"/>
  </r>
  <r>
    <s v="ORD0316"/>
    <x v="215"/>
    <s v="C013"/>
    <x v="15"/>
    <x v="13"/>
    <x v="3"/>
    <x v="2"/>
    <x v="2"/>
    <n v="5"/>
    <n v="3000"/>
    <n v="0"/>
    <n v="15000"/>
    <n v="9500"/>
    <n v="5500"/>
    <x v="3"/>
    <x v="0"/>
    <x v="1"/>
    <b v="1"/>
  </r>
  <r>
    <s v="ORD0317"/>
    <x v="103"/>
    <s v="C008"/>
    <x v="3"/>
    <x v="9"/>
    <x v="3"/>
    <x v="0"/>
    <x v="10"/>
    <n v="3"/>
    <n v="1800"/>
    <n v="0.15"/>
    <n v="4590"/>
    <n v="3300"/>
    <n v="1290"/>
    <x v="0"/>
    <x v="1"/>
    <x v="4"/>
    <b v="1"/>
  </r>
  <r>
    <s v="ORD0318"/>
    <x v="216"/>
    <s v="C014"/>
    <x v="1"/>
    <x v="12"/>
    <x v="0"/>
    <x v="1"/>
    <x v="8"/>
    <n v="1"/>
    <n v="25000"/>
    <n v="0"/>
    <n v="25000"/>
    <n v="20500"/>
    <n v="4500"/>
    <x v="2"/>
    <x v="1"/>
    <x v="11"/>
    <b v="1"/>
  </r>
  <r>
    <s v="ORD0319"/>
    <x v="217"/>
    <s v="C013"/>
    <x v="15"/>
    <x v="10"/>
    <x v="4"/>
    <x v="0"/>
    <x v="9"/>
    <n v="5"/>
    <n v="1800"/>
    <n v="0"/>
    <n v="9000"/>
    <n v="5500"/>
    <n v="3500"/>
    <x v="1"/>
    <x v="0"/>
    <x v="3"/>
    <b v="1"/>
  </r>
  <r>
    <s v="ORD0320"/>
    <x v="218"/>
    <s v="C014"/>
    <x v="1"/>
    <x v="12"/>
    <x v="0"/>
    <x v="0"/>
    <x v="9"/>
    <n v="1"/>
    <n v="25000"/>
    <n v="0.05"/>
    <n v="23750"/>
    <n v="20500"/>
    <n v="3250"/>
    <x v="3"/>
    <x v="1"/>
    <x v="11"/>
    <b v="1"/>
  </r>
  <r>
    <s v="ORD0321"/>
    <x v="219"/>
    <s v="C017"/>
    <x v="8"/>
    <x v="10"/>
    <x v="4"/>
    <x v="2"/>
    <x v="7"/>
    <n v="3"/>
    <n v="1800"/>
    <n v="0.1"/>
    <n v="4860"/>
    <n v="3300"/>
    <n v="1560"/>
    <x v="1"/>
    <x v="1"/>
    <x v="9"/>
    <b v="1"/>
  </r>
  <r>
    <s v="ORD0322"/>
    <x v="21"/>
    <s v="C010"/>
    <x v="16"/>
    <x v="0"/>
    <x v="0"/>
    <x v="1"/>
    <x v="8"/>
    <n v="1"/>
    <n v="55000"/>
    <n v="0"/>
    <n v="55000"/>
    <n v="45000"/>
    <n v="10000"/>
    <x v="2"/>
    <x v="0"/>
    <x v="4"/>
    <b v="1"/>
  </r>
  <r>
    <s v="ORD0323"/>
    <x v="220"/>
    <s v="C006"/>
    <x v="6"/>
    <x v="13"/>
    <x v="3"/>
    <x v="3"/>
    <x v="4"/>
    <n v="2"/>
    <n v="3000"/>
    <n v="0.1"/>
    <n v="5400"/>
    <n v="3800"/>
    <n v="1600"/>
    <x v="1"/>
    <x v="0"/>
    <x v="8"/>
    <b v="1"/>
  </r>
  <r>
    <s v="ORD0324"/>
    <x v="50"/>
    <s v="C006"/>
    <x v="6"/>
    <x v="5"/>
    <x v="0"/>
    <x v="2"/>
    <x v="7"/>
    <n v="4"/>
    <n v="2500"/>
    <n v="0.15"/>
    <n v="8500"/>
    <n v="6800"/>
    <n v="1700"/>
    <x v="2"/>
    <x v="1"/>
    <x v="3"/>
    <b v="1"/>
  </r>
  <r>
    <s v="ORD0325"/>
    <x v="158"/>
    <s v="C014"/>
    <x v="1"/>
    <x v="1"/>
    <x v="1"/>
    <x v="0"/>
    <x v="0"/>
    <n v="1"/>
    <n v="7000"/>
    <n v="0.05"/>
    <n v="6650"/>
    <n v="4800"/>
    <n v="1850"/>
    <x v="0"/>
    <x v="0"/>
    <x v="1"/>
    <b v="1"/>
  </r>
  <r>
    <s v="ORD0326"/>
    <x v="25"/>
    <s v="C006"/>
    <x v="6"/>
    <x v="2"/>
    <x v="1"/>
    <x v="0"/>
    <x v="9"/>
    <n v="3"/>
    <n v="12000"/>
    <n v="0"/>
    <n v="36000"/>
    <n v="25500"/>
    <n v="10500"/>
    <x v="3"/>
    <x v="1"/>
    <x v="1"/>
    <b v="1"/>
  </r>
  <r>
    <s v="ORD0327"/>
    <x v="18"/>
    <s v="C011"/>
    <x v="5"/>
    <x v="11"/>
    <x v="3"/>
    <x v="2"/>
    <x v="2"/>
    <n v="4"/>
    <n v="900"/>
    <n v="0"/>
    <n v="3600"/>
    <n v="2000"/>
    <n v="1600"/>
    <x v="3"/>
    <x v="1"/>
    <x v="8"/>
    <b v="1"/>
  </r>
  <r>
    <s v="ORD0328"/>
    <x v="148"/>
    <s v="C020"/>
    <x v="10"/>
    <x v="5"/>
    <x v="0"/>
    <x v="1"/>
    <x v="11"/>
    <n v="3"/>
    <n v="2500"/>
    <n v="0"/>
    <n v="7500"/>
    <n v="5100"/>
    <n v="2400"/>
    <x v="3"/>
    <x v="0"/>
    <x v="5"/>
    <b v="1"/>
  </r>
  <r>
    <s v="ORD0329"/>
    <x v="221"/>
    <s v="C010"/>
    <x v="16"/>
    <x v="12"/>
    <x v="0"/>
    <x v="3"/>
    <x v="4"/>
    <n v="2"/>
    <n v="25000"/>
    <n v="0"/>
    <n v="50000"/>
    <n v="41000"/>
    <n v="9000"/>
    <x v="1"/>
    <x v="1"/>
    <x v="10"/>
    <b v="1"/>
  </r>
  <r>
    <s v="ORD0330"/>
    <x v="170"/>
    <s v="C005"/>
    <x v="18"/>
    <x v="11"/>
    <x v="3"/>
    <x v="2"/>
    <x v="7"/>
    <n v="4"/>
    <n v="900"/>
    <n v="0.1"/>
    <n v="3240"/>
    <n v="2000"/>
    <n v="1240"/>
    <x v="2"/>
    <x v="0"/>
    <x v="0"/>
    <b v="1"/>
  </r>
  <r>
    <s v="ORD0331"/>
    <x v="16"/>
    <s v="C010"/>
    <x v="16"/>
    <x v="5"/>
    <x v="0"/>
    <x v="3"/>
    <x v="6"/>
    <n v="2"/>
    <n v="2500"/>
    <n v="0.15"/>
    <n v="4250"/>
    <n v="3400"/>
    <n v="850"/>
    <x v="0"/>
    <x v="1"/>
    <x v="8"/>
    <b v="1"/>
  </r>
  <r>
    <s v="ORD0332"/>
    <x v="222"/>
    <s v="C016"/>
    <x v="9"/>
    <x v="5"/>
    <x v="0"/>
    <x v="2"/>
    <x v="2"/>
    <n v="2"/>
    <n v="2500"/>
    <n v="0.15"/>
    <n v="4250"/>
    <n v="3400"/>
    <n v="850"/>
    <x v="1"/>
    <x v="1"/>
    <x v="6"/>
    <b v="1"/>
  </r>
  <r>
    <s v="ORD0333"/>
    <x v="223"/>
    <s v="C016"/>
    <x v="9"/>
    <x v="1"/>
    <x v="1"/>
    <x v="2"/>
    <x v="7"/>
    <n v="4"/>
    <n v="7000"/>
    <n v="0"/>
    <n v="28000"/>
    <n v="19200"/>
    <n v="8800"/>
    <x v="0"/>
    <x v="0"/>
    <x v="2"/>
    <b v="1"/>
  </r>
  <r>
    <s v="ORD0334"/>
    <x v="89"/>
    <s v="C002"/>
    <x v="11"/>
    <x v="3"/>
    <x v="1"/>
    <x v="3"/>
    <x v="3"/>
    <n v="2"/>
    <n v="8000"/>
    <n v="0.1"/>
    <n v="14400"/>
    <n v="11200"/>
    <n v="3200"/>
    <x v="1"/>
    <x v="0"/>
    <x v="10"/>
    <b v="1"/>
  </r>
  <r>
    <s v="ORD0335"/>
    <x v="150"/>
    <s v="C004"/>
    <x v="0"/>
    <x v="3"/>
    <x v="1"/>
    <x v="3"/>
    <x v="4"/>
    <n v="5"/>
    <n v="8000"/>
    <n v="0"/>
    <n v="40000"/>
    <n v="28000"/>
    <n v="12000"/>
    <x v="1"/>
    <x v="0"/>
    <x v="1"/>
    <b v="1"/>
  </r>
  <r>
    <s v="ORD0336"/>
    <x v="82"/>
    <s v="C004"/>
    <x v="0"/>
    <x v="8"/>
    <x v="2"/>
    <x v="3"/>
    <x v="3"/>
    <n v="2"/>
    <n v="4500"/>
    <n v="0.1"/>
    <n v="8100"/>
    <n v="6200"/>
    <n v="1900"/>
    <x v="3"/>
    <x v="1"/>
    <x v="5"/>
    <b v="1"/>
  </r>
  <r>
    <s v="ORD0337"/>
    <x v="224"/>
    <s v="C015"/>
    <x v="12"/>
    <x v="6"/>
    <x v="2"/>
    <x v="0"/>
    <x v="0"/>
    <n v="1"/>
    <n v="6000"/>
    <n v="0.15"/>
    <n v="5100"/>
    <n v="4200"/>
    <n v="900"/>
    <x v="3"/>
    <x v="1"/>
    <x v="4"/>
    <b v="1"/>
  </r>
  <r>
    <s v="ORD0338"/>
    <x v="83"/>
    <s v="C020"/>
    <x v="10"/>
    <x v="5"/>
    <x v="0"/>
    <x v="0"/>
    <x v="0"/>
    <n v="2"/>
    <n v="2500"/>
    <n v="0.15"/>
    <n v="4250"/>
    <n v="3400"/>
    <n v="850"/>
    <x v="3"/>
    <x v="1"/>
    <x v="7"/>
    <b v="1"/>
  </r>
  <r>
    <s v="ORD0339"/>
    <x v="170"/>
    <s v="C018"/>
    <x v="2"/>
    <x v="5"/>
    <x v="0"/>
    <x v="3"/>
    <x v="6"/>
    <n v="3"/>
    <n v="2500"/>
    <n v="0.15"/>
    <n v="6375"/>
    <n v="5100"/>
    <n v="1275"/>
    <x v="3"/>
    <x v="0"/>
    <x v="0"/>
    <b v="1"/>
  </r>
  <r>
    <s v="ORD0340"/>
    <x v="153"/>
    <s v="C014"/>
    <x v="1"/>
    <x v="0"/>
    <x v="0"/>
    <x v="0"/>
    <x v="10"/>
    <n v="3"/>
    <n v="55000"/>
    <n v="0"/>
    <n v="165000"/>
    <n v="135000"/>
    <n v="30000"/>
    <x v="2"/>
    <x v="0"/>
    <x v="7"/>
    <b v="1"/>
  </r>
  <r>
    <s v="ORD0341"/>
    <x v="207"/>
    <s v="C011"/>
    <x v="5"/>
    <x v="6"/>
    <x v="2"/>
    <x v="2"/>
    <x v="5"/>
    <n v="2"/>
    <n v="6000"/>
    <n v="0"/>
    <n v="12000"/>
    <n v="8400"/>
    <n v="3600"/>
    <x v="3"/>
    <x v="1"/>
    <x v="2"/>
    <b v="1"/>
  </r>
  <r>
    <s v="ORD0342"/>
    <x v="225"/>
    <s v="C015"/>
    <x v="12"/>
    <x v="12"/>
    <x v="0"/>
    <x v="2"/>
    <x v="2"/>
    <n v="1"/>
    <n v="25000"/>
    <n v="0.05"/>
    <n v="23750"/>
    <n v="20500"/>
    <n v="3250"/>
    <x v="3"/>
    <x v="1"/>
    <x v="3"/>
    <b v="1"/>
  </r>
  <r>
    <s v="ORD0343"/>
    <x v="226"/>
    <s v="C011"/>
    <x v="5"/>
    <x v="11"/>
    <x v="3"/>
    <x v="1"/>
    <x v="11"/>
    <n v="1"/>
    <n v="900"/>
    <n v="0.1"/>
    <n v="810"/>
    <n v="500"/>
    <n v="310"/>
    <x v="3"/>
    <x v="0"/>
    <x v="8"/>
    <b v="1"/>
  </r>
  <r>
    <s v="ORD0344"/>
    <x v="8"/>
    <s v="C013"/>
    <x v="15"/>
    <x v="7"/>
    <x v="0"/>
    <x v="0"/>
    <x v="9"/>
    <n v="4"/>
    <n v="5000"/>
    <n v="0.05"/>
    <n v="19000"/>
    <n v="14000"/>
    <n v="5000"/>
    <x v="3"/>
    <x v="1"/>
    <x v="1"/>
    <b v="1"/>
  </r>
  <r>
    <s v="ORD0345"/>
    <x v="227"/>
    <s v="C018"/>
    <x v="2"/>
    <x v="11"/>
    <x v="3"/>
    <x v="2"/>
    <x v="5"/>
    <n v="2"/>
    <n v="900"/>
    <n v="0"/>
    <n v="1800"/>
    <n v="1000"/>
    <n v="800"/>
    <x v="0"/>
    <x v="0"/>
    <x v="11"/>
    <b v="1"/>
  </r>
  <r>
    <s v="ORD0346"/>
    <x v="211"/>
    <s v="C015"/>
    <x v="12"/>
    <x v="0"/>
    <x v="0"/>
    <x v="0"/>
    <x v="9"/>
    <n v="1"/>
    <n v="55000"/>
    <n v="0.1"/>
    <n v="49500"/>
    <n v="45000"/>
    <n v="4500"/>
    <x v="0"/>
    <x v="1"/>
    <x v="0"/>
    <b v="1"/>
  </r>
  <r>
    <s v="ORD0347"/>
    <x v="174"/>
    <s v="C005"/>
    <x v="18"/>
    <x v="9"/>
    <x v="3"/>
    <x v="0"/>
    <x v="9"/>
    <n v="3"/>
    <n v="1800"/>
    <n v="0"/>
    <n v="5400"/>
    <n v="3300"/>
    <n v="2100"/>
    <x v="3"/>
    <x v="1"/>
    <x v="9"/>
    <b v="1"/>
  </r>
  <r>
    <s v="ORD0348"/>
    <x v="140"/>
    <s v="C012"/>
    <x v="4"/>
    <x v="9"/>
    <x v="3"/>
    <x v="1"/>
    <x v="8"/>
    <n v="2"/>
    <n v="1800"/>
    <n v="0.05"/>
    <n v="3420"/>
    <n v="2200"/>
    <n v="1220"/>
    <x v="2"/>
    <x v="1"/>
    <x v="4"/>
    <b v="1"/>
  </r>
  <r>
    <s v="ORD0349"/>
    <x v="130"/>
    <s v="C003"/>
    <x v="14"/>
    <x v="8"/>
    <x v="2"/>
    <x v="1"/>
    <x v="1"/>
    <n v="1"/>
    <n v="4500"/>
    <n v="0.1"/>
    <n v="4050"/>
    <n v="3100"/>
    <n v="950"/>
    <x v="0"/>
    <x v="0"/>
    <x v="2"/>
    <b v="1"/>
  </r>
  <r>
    <s v="ORD0350"/>
    <x v="158"/>
    <s v="C008"/>
    <x v="3"/>
    <x v="13"/>
    <x v="3"/>
    <x v="1"/>
    <x v="1"/>
    <n v="4"/>
    <n v="3000"/>
    <n v="0.05"/>
    <n v="11400"/>
    <n v="7600"/>
    <n v="3800"/>
    <x v="0"/>
    <x v="1"/>
    <x v="1"/>
    <b v="1"/>
  </r>
  <r>
    <s v="ORD0351"/>
    <x v="96"/>
    <s v="C005"/>
    <x v="18"/>
    <x v="10"/>
    <x v="4"/>
    <x v="0"/>
    <x v="9"/>
    <n v="1"/>
    <n v="1800"/>
    <n v="0"/>
    <n v="1800"/>
    <n v="1100"/>
    <n v="700"/>
    <x v="0"/>
    <x v="0"/>
    <x v="2"/>
    <b v="1"/>
  </r>
  <r>
    <s v="ORD0352"/>
    <x v="46"/>
    <s v="C012"/>
    <x v="4"/>
    <x v="3"/>
    <x v="1"/>
    <x v="2"/>
    <x v="7"/>
    <n v="2"/>
    <n v="8000"/>
    <n v="0"/>
    <n v="16000"/>
    <n v="11200"/>
    <n v="4800"/>
    <x v="0"/>
    <x v="0"/>
    <x v="11"/>
    <b v="1"/>
  </r>
  <r>
    <s v="ORD0353"/>
    <x v="172"/>
    <s v="C006"/>
    <x v="6"/>
    <x v="10"/>
    <x v="4"/>
    <x v="0"/>
    <x v="10"/>
    <n v="3"/>
    <n v="1800"/>
    <n v="0"/>
    <n v="5400"/>
    <n v="3300"/>
    <n v="2100"/>
    <x v="1"/>
    <x v="1"/>
    <x v="0"/>
    <b v="1"/>
  </r>
  <r>
    <s v="ORD0354"/>
    <x v="228"/>
    <s v="C003"/>
    <x v="14"/>
    <x v="12"/>
    <x v="0"/>
    <x v="1"/>
    <x v="11"/>
    <n v="2"/>
    <n v="25000"/>
    <n v="0.1"/>
    <n v="45000"/>
    <n v="41000"/>
    <n v="4000"/>
    <x v="3"/>
    <x v="1"/>
    <x v="9"/>
    <b v="1"/>
  </r>
  <r>
    <s v="ORD0355"/>
    <x v="204"/>
    <s v="C005"/>
    <x v="18"/>
    <x v="7"/>
    <x v="0"/>
    <x v="1"/>
    <x v="1"/>
    <n v="3"/>
    <n v="5000"/>
    <n v="0.15"/>
    <n v="12750"/>
    <n v="10500"/>
    <n v="2250"/>
    <x v="3"/>
    <x v="0"/>
    <x v="11"/>
    <b v="1"/>
  </r>
  <r>
    <s v="ORD0356"/>
    <x v="112"/>
    <s v="C010"/>
    <x v="16"/>
    <x v="7"/>
    <x v="0"/>
    <x v="0"/>
    <x v="10"/>
    <n v="5"/>
    <n v="5000"/>
    <n v="0.1"/>
    <n v="22500"/>
    <n v="17500"/>
    <n v="5000"/>
    <x v="3"/>
    <x v="0"/>
    <x v="2"/>
    <b v="1"/>
  </r>
  <r>
    <s v="ORD0357"/>
    <x v="221"/>
    <s v="C016"/>
    <x v="9"/>
    <x v="1"/>
    <x v="1"/>
    <x v="0"/>
    <x v="9"/>
    <n v="1"/>
    <n v="7000"/>
    <n v="0.15"/>
    <n v="5950"/>
    <n v="4800"/>
    <n v="1150"/>
    <x v="0"/>
    <x v="0"/>
    <x v="10"/>
    <b v="1"/>
  </r>
  <r>
    <s v="ORD0358"/>
    <x v="75"/>
    <s v="C011"/>
    <x v="5"/>
    <x v="5"/>
    <x v="0"/>
    <x v="2"/>
    <x v="5"/>
    <n v="4"/>
    <n v="2500"/>
    <n v="0.15"/>
    <n v="8500"/>
    <n v="6800"/>
    <n v="1700"/>
    <x v="2"/>
    <x v="1"/>
    <x v="3"/>
    <b v="1"/>
  </r>
  <r>
    <s v="ORD0359"/>
    <x v="229"/>
    <s v="C001"/>
    <x v="7"/>
    <x v="11"/>
    <x v="3"/>
    <x v="1"/>
    <x v="8"/>
    <n v="1"/>
    <n v="900"/>
    <n v="0"/>
    <n v="900"/>
    <n v="500"/>
    <n v="400"/>
    <x v="0"/>
    <x v="0"/>
    <x v="4"/>
    <b v="1"/>
  </r>
  <r>
    <s v="ORD0360"/>
    <x v="230"/>
    <s v="C017"/>
    <x v="8"/>
    <x v="3"/>
    <x v="1"/>
    <x v="2"/>
    <x v="5"/>
    <n v="5"/>
    <n v="8000"/>
    <n v="0.1"/>
    <n v="36000"/>
    <n v="28000"/>
    <n v="8000"/>
    <x v="0"/>
    <x v="0"/>
    <x v="3"/>
    <b v="1"/>
  </r>
  <r>
    <s v="ORD0361"/>
    <x v="44"/>
    <s v="C003"/>
    <x v="14"/>
    <x v="3"/>
    <x v="1"/>
    <x v="0"/>
    <x v="0"/>
    <n v="1"/>
    <n v="8000"/>
    <n v="0.15"/>
    <n v="6800"/>
    <n v="5600"/>
    <n v="1200"/>
    <x v="3"/>
    <x v="1"/>
    <x v="10"/>
    <b v="1"/>
  </r>
  <r>
    <s v="ORD0362"/>
    <x v="105"/>
    <s v="C003"/>
    <x v="14"/>
    <x v="3"/>
    <x v="1"/>
    <x v="0"/>
    <x v="0"/>
    <n v="4"/>
    <n v="8000"/>
    <n v="0"/>
    <n v="32000"/>
    <n v="22400"/>
    <n v="9600"/>
    <x v="0"/>
    <x v="1"/>
    <x v="1"/>
    <b v="1"/>
  </r>
  <r>
    <s v="ORD0363"/>
    <x v="45"/>
    <s v="C015"/>
    <x v="12"/>
    <x v="11"/>
    <x v="3"/>
    <x v="1"/>
    <x v="8"/>
    <n v="5"/>
    <n v="900"/>
    <n v="0"/>
    <n v="4500"/>
    <n v="2500"/>
    <n v="2000"/>
    <x v="0"/>
    <x v="0"/>
    <x v="7"/>
    <b v="1"/>
  </r>
  <r>
    <s v="ORD0364"/>
    <x v="231"/>
    <s v="C005"/>
    <x v="18"/>
    <x v="8"/>
    <x v="2"/>
    <x v="0"/>
    <x v="9"/>
    <n v="1"/>
    <n v="4500"/>
    <n v="0.05"/>
    <n v="4275"/>
    <n v="3100"/>
    <n v="1175"/>
    <x v="3"/>
    <x v="0"/>
    <x v="2"/>
    <b v="1"/>
  </r>
  <r>
    <s v="ORD0365"/>
    <x v="232"/>
    <s v="C005"/>
    <x v="18"/>
    <x v="8"/>
    <x v="2"/>
    <x v="1"/>
    <x v="1"/>
    <n v="3"/>
    <n v="4500"/>
    <n v="0.05"/>
    <n v="12825"/>
    <n v="9300"/>
    <n v="3525"/>
    <x v="1"/>
    <x v="1"/>
    <x v="3"/>
    <b v="1"/>
  </r>
  <r>
    <s v="ORD0366"/>
    <x v="171"/>
    <s v="C003"/>
    <x v="14"/>
    <x v="3"/>
    <x v="1"/>
    <x v="1"/>
    <x v="8"/>
    <n v="5"/>
    <n v="8000"/>
    <n v="0.1"/>
    <n v="36000"/>
    <n v="28000"/>
    <n v="8000"/>
    <x v="3"/>
    <x v="0"/>
    <x v="8"/>
    <b v="1"/>
  </r>
  <r>
    <s v="ORD0367"/>
    <x v="202"/>
    <s v="C019"/>
    <x v="13"/>
    <x v="5"/>
    <x v="0"/>
    <x v="0"/>
    <x v="9"/>
    <n v="3"/>
    <n v="2500"/>
    <n v="0"/>
    <n v="7500"/>
    <n v="5100"/>
    <n v="2400"/>
    <x v="0"/>
    <x v="0"/>
    <x v="8"/>
    <b v="1"/>
  </r>
  <r>
    <s v="ORD0368"/>
    <x v="136"/>
    <s v="C001"/>
    <x v="7"/>
    <x v="0"/>
    <x v="0"/>
    <x v="0"/>
    <x v="0"/>
    <n v="1"/>
    <n v="55000"/>
    <n v="0.1"/>
    <n v="49500"/>
    <n v="45000"/>
    <n v="4500"/>
    <x v="3"/>
    <x v="1"/>
    <x v="8"/>
    <b v="1"/>
  </r>
  <r>
    <s v="ORD0369"/>
    <x v="233"/>
    <s v="C006"/>
    <x v="6"/>
    <x v="6"/>
    <x v="2"/>
    <x v="2"/>
    <x v="7"/>
    <n v="1"/>
    <n v="6000"/>
    <n v="0.05"/>
    <n v="5700"/>
    <n v="4200"/>
    <n v="1500"/>
    <x v="2"/>
    <x v="1"/>
    <x v="7"/>
    <b v="1"/>
  </r>
  <r>
    <s v="ORD0370"/>
    <x v="161"/>
    <s v="C009"/>
    <x v="17"/>
    <x v="6"/>
    <x v="2"/>
    <x v="3"/>
    <x v="3"/>
    <n v="1"/>
    <n v="6000"/>
    <n v="0.15"/>
    <n v="5100"/>
    <n v="4200"/>
    <n v="900"/>
    <x v="0"/>
    <x v="0"/>
    <x v="11"/>
    <b v="1"/>
  </r>
  <r>
    <s v="ORD0371"/>
    <x v="234"/>
    <s v="C017"/>
    <x v="8"/>
    <x v="0"/>
    <x v="0"/>
    <x v="1"/>
    <x v="8"/>
    <n v="4"/>
    <n v="55000"/>
    <n v="0.05"/>
    <n v="209000"/>
    <n v="180000"/>
    <n v="29000"/>
    <x v="3"/>
    <x v="1"/>
    <x v="9"/>
    <b v="1"/>
  </r>
  <r>
    <s v="ORD0372"/>
    <x v="224"/>
    <s v="C018"/>
    <x v="2"/>
    <x v="10"/>
    <x v="4"/>
    <x v="3"/>
    <x v="3"/>
    <n v="1"/>
    <n v="1800"/>
    <n v="0.05"/>
    <n v="1710"/>
    <n v="1100"/>
    <n v="610"/>
    <x v="3"/>
    <x v="0"/>
    <x v="4"/>
    <b v="1"/>
  </r>
  <r>
    <s v="ORD0373"/>
    <x v="192"/>
    <s v="C012"/>
    <x v="4"/>
    <x v="11"/>
    <x v="3"/>
    <x v="0"/>
    <x v="10"/>
    <n v="4"/>
    <n v="900"/>
    <n v="0.15"/>
    <n v="3060"/>
    <n v="2000"/>
    <n v="1060"/>
    <x v="2"/>
    <x v="0"/>
    <x v="5"/>
    <b v="1"/>
  </r>
  <r>
    <s v="ORD0374"/>
    <x v="121"/>
    <s v="C014"/>
    <x v="1"/>
    <x v="0"/>
    <x v="0"/>
    <x v="3"/>
    <x v="4"/>
    <n v="2"/>
    <n v="55000"/>
    <n v="0"/>
    <n v="110000"/>
    <n v="90000"/>
    <n v="20000"/>
    <x v="3"/>
    <x v="0"/>
    <x v="6"/>
    <b v="1"/>
  </r>
  <r>
    <s v="ORD0375"/>
    <x v="235"/>
    <s v="C013"/>
    <x v="15"/>
    <x v="6"/>
    <x v="2"/>
    <x v="1"/>
    <x v="1"/>
    <n v="3"/>
    <n v="6000"/>
    <n v="0.15"/>
    <n v="15300"/>
    <n v="12600"/>
    <n v="2700"/>
    <x v="2"/>
    <x v="1"/>
    <x v="2"/>
    <b v="1"/>
  </r>
  <r>
    <s v="ORD0376"/>
    <x v="206"/>
    <s v="C002"/>
    <x v="11"/>
    <x v="5"/>
    <x v="0"/>
    <x v="1"/>
    <x v="1"/>
    <n v="3"/>
    <n v="2500"/>
    <n v="0"/>
    <n v="7500"/>
    <n v="5100"/>
    <n v="2400"/>
    <x v="1"/>
    <x v="1"/>
    <x v="8"/>
    <b v="1"/>
  </r>
  <r>
    <s v="ORD0377"/>
    <x v="148"/>
    <s v="C003"/>
    <x v="14"/>
    <x v="11"/>
    <x v="3"/>
    <x v="0"/>
    <x v="10"/>
    <n v="1"/>
    <n v="900"/>
    <n v="0.1"/>
    <n v="810"/>
    <n v="500"/>
    <n v="310"/>
    <x v="0"/>
    <x v="0"/>
    <x v="5"/>
    <b v="1"/>
  </r>
  <r>
    <s v="ORD0378"/>
    <x v="15"/>
    <s v="C005"/>
    <x v="18"/>
    <x v="7"/>
    <x v="0"/>
    <x v="3"/>
    <x v="6"/>
    <n v="3"/>
    <n v="5000"/>
    <n v="0.1"/>
    <n v="13500"/>
    <n v="10500"/>
    <n v="3000"/>
    <x v="3"/>
    <x v="1"/>
    <x v="5"/>
    <b v="1"/>
  </r>
  <r>
    <s v="ORD0379"/>
    <x v="116"/>
    <s v="C009"/>
    <x v="17"/>
    <x v="7"/>
    <x v="0"/>
    <x v="0"/>
    <x v="0"/>
    <n v="1"/>
    <n v="5000"/>
    <n v="0.15"/>
    <n v="4250"/>
    <n v="3500"/>
    <n v="750"/>
    <x v="0"/>
    <x v="0"/>
    <x v="5"/>
    <b v="1"/>
  </r>
  <r>
    <s v="ORD0380"/>
    <x v="55"/>
    <s v="C006"/>
    <x v="6"/>
    <x v="10"/>
    <x v="4"/>
    <x v="3"/>
    <x v="6"/>
    <n v="4"/>
    <n v="1800"/>
    <n v="0"/>
    <n v="7200"/>
    <n v="4400"/>
    <n v="2800"/>
    <x v="3"/>
    <x v="0"/>
    <x v="4"/>
    <b v="1"/>
  </r>
  <r>
    <s v="ORD0381"/>
    <x v="116"/>
    <s v="C010"/>
    <x v="16"/>
    <x v="10"/>
    <x v="4"/>
    <x v="1"/>
    <x v="1"/>
    <n v="3"/>
    <n v="1800"/>
    <n v="0"/>
    <n v="5400"/>
    <n v="3300"/>
    <n v="2100"/>
    <x v="3"/>
    <x v="0"/>
    <x v="5"/>
    <b v="1"/>
  </r>
  <r>
    <s v="ORD0382"/>
    <x v="74"/>
    <s v="C011"/>
    <x v="5"/>
    <x v="5"/>
    <x v="0"/>
    <x v="0"/>
    <x v="9"/>
    <n v="1"/>
    <n v="2500"/>
    <n v="0.1"/>
    <n v="2250"/>
    <n v="1700"/>
    <n v="550"/>
    <x v="0"/>
    <x v="1"/>
    <x v="9"/>
    <b v="1"/>
  </r>
  <r>
    <s v="ORD0383"/>
    <x v="236"/>
    <s v="C006"/>
    <x v="6"/>
    <x v="0"/>
    <x v="0"/>
    <x v="2"/>
    <x v="2"/>
    <n v="4"/>
    <n v="55000"/>
    <n v="0.15"/>
    <n v="187000"/>
    <n v="180000"/>
    <n v="7000"/>
    <x v="2"/>
    <x v="0"/>
    <x v="10"/>
    <b v="1"/>
  </r>
  <r>
    <s v="ORD0384"/>
    <x v="98"/>
    <s v="C004"/>
    <x v="0"/>
    <x v="4"/>
    <x v="2"/>
    <x v="1"/>
    <x v="1"/>
    <n v="2"/>
    <n v="3500"/>
    <n v="0"/>
    <n v="7000"/>
    <n v="4800"/>
    <n v="2200"/>
    <x v="2"/>
    <x v="0"/>
    <x v="5"/>
    <b v="1"/>
  </r>
  <r>
    <s v="ORD0385"/>
    <x v="99"/>
    <s v="C013"/>
    <x v="15"/>
    <x v="2"/>
    <x v="1"/>
    <x v="3"/>
    <x v="3"/>
    <n v="1"/>
    <n v="12000"/>
    <n v="0"/>
    <n v="12000"/>
    <n v="8500"/>
    <n v="3500"/>
    <x v="0"/>
    <x v="0"/>
    <x v="9"/>
    <b v="1"/>
  </r>
  <r>
    <s v="ORD0386"/>
    <x v="237"/>
    <s v="C015"/>
    <x v="12"/>
    <x v="4"/>
    <x v="2"/>
    <x v="1"/>
    <x v="8"/>
    <n v="2"/>
    <n v="3500"/>
    <n v="0"/>
    <n v="7000"/>
    <n v="4800"/>
    <n v="2200"/>
    <x v="0"/>
    <x v="1"/>
    <x v="0"/>
    <b v="1"/>
  </r>
  <r>
    <s v="ORD0387"/>
    <x v="165"/>
    <s v="C006"/>
    <x v="6"/>
    <x v="11"/>
    <x v="3"/>
    <x v="2"/>
    <x v="5"/>
    <n v="4"/>
    <n v="900"/>
    <n v="0"/>
    <n v="3600"/>
    <n v="2000"/>
    <n v="1600"/>
    <x v="1"/>
    <x v="1"/>
    <x v="6"/>
    <b v="1"/>
  </r>
  <r>
    <s v="ORD0388"/>
    <x v="238"/>
    <s v="C012"/>
    <x v="4"/>
    <x v="7"/>
    <x v="0"/>
    <x v="3"/>
    <x v="6"/>
    <n v="2"/>
    <n v="5000"/>
    <n v="0.1"/>
    <n v="9000"/>
    <n v="7000"/>
    <n v="2000"/>
    <x v="2"/>
    <x v="0"/>
    <x v="7"/>
    <b v="1"/>
  </r>
  <r>
    <s v="ORD0389"/>
    <x v="181"/>
    <s v="C020"/>
    <x v="10"/>
    <x v="11"/>
    <x v="3"/>
    <x v="3"/>
    <x v="6"/>
    <n v="2"/>
    <n v="900"/>
    <n v="0.1"/>
    <n v="1620"/>
    <n v="1000"/>
    <n v="620"/>
    <x v="1"/>
    <x v="0"/>
    <x v="0"/>
    <b v="1"/>
  </r>
  <r>
    <s v="ORD0390"/>
    <x v="224"/>
    <s v="C009"/>
    <x v="17"/>
    <x v="1"/>
    <x v="1"/>
    <x v="2"/>
    <x v="7"/>
    <n v="2"/>
    <n v="7000"/>
    <n v="0.15"/>
    <n v="11900"/>
    <n v="9600"/>
    <n v="2300"/>
    <x v="2"/>
    <x v="0"/>
    <x v="4"/>
    <b v="1"/>
  </r>
  <r>
    <s v="ORD0391"/>
    <x v="185"/>
    <s v="C012"/>
    <x v="4"/>
    <x v="10"/>
    <x v="4"/>
    <x v="2"/>
    <x v="5"/>
    <n v="5"/>
    <n v="1800"/>
    <n v="0.15"/>
    <n v="7650"/>
    <n v="5500"/>
    <n v="2150"/>
    <x v="3"/>
    <x v="1"/>
    <x v="3"/>
    <b v="1"/>
  </r>
  <r>
    <s v="ORD0392"/>
    <x v="239"/>
    <s v="C006"/>
    <x v="6"/>
    <x v="0"/>
    <x v="0"/>
    <x v="0"/>
    <x v="0"/>
    <n v="3"/>
    <n v="55000"/>
    <n v="0.05"/>
    <n v="156750"/>
    <n v="135000"/>
    <n v="21750"/>
    <x v="0"/>
    <x v="1"/>
    <x v="10"/>
    <b v="1"/>
  </r>
  <r>
    <s v="ORD0393"/>
    <x v="122"/>
    <s v="C012"/>
    <x v="4"/>
    <x v="4"/>
    <x v="2"/>
    <x v="0"/>
    <x v="0"/>
    <n v="5"/>
    <n v="3500"/>
    <n v="0"/>
    <n v="17500"/>
    <n v="12000"/>
    <n v="5500"/>
    <x v="2"/>
    <x v="0"/>
    <x v="8"/>
    <b v="1"/>
  </r>
  <r>
    <s v="ORD0394"/>
    <x v="240"/>
    <s v="C018"/>
    <x v="2"/>
    <x v="6"/>
    <x v="2"/>
    <x v="0"/>
    <x v="10"/>
    <n v="1"/>
    <n v="6000"/>
    <n v="0.1"/>
    <n v="5400"/>
    <n v="4200"/>
    <n v="1200"/>
    <x v="3"/>
    <x v="0"/>
    <x v="10"/>
    <b v="1"/>
  </r>
  <r>
    <s v="ORD0395"/>
    <x v="213"/>
    <s v="C008"/>
    <x v="3"/>
    <x v="11"/>
    <x v="3"/>
    <x v="3"/>
    <x v="4"/>
    <n v="3"/>
    <n v="900"/>
    <n v="0"/>
    <n v="2700"/>
    <n v="1500"/>
    <n v="1200"/>
    <x v="3"/>
    <x v="0"/>
    <x v="9"/>
    <b v="1"/>
  </r>
  <r>
    <s v="ORD0396"/>
    <x v="183"/>
    <s v="C007"/>
    <x v="19"/>
    <x v="6"/>
    <x v="2"/>
    <x v="3"/>
    <x v="3"/>
    <n v="4"/>
    <n v="6000"/>
    <n v="0.1"/>
    <n v="21600"/>
    <n v="16800"/>
    <n v="4800"/>
    <x v="0"/>
    <x v="0"/>
    <x v="1"/>
    <b v="1"/>
  </r>
  <r>
    <s v="ORD0397"/>
    <x v="9"/>
    <s v="C008"/>
    <x v="3"/>
    <x v="11"/>
    <x v="3"/>
    <x v="1"/>
    <x v="11"/>
    <n v="2"/>
    <n v="900"/>
    <n v="0.1"/>
    <n v="1620"/>
    <n v="1000"/>
    <n v="620"/>
    <x v="0"/>
    <x v="1"/>
    <x v="6"/>
    <b v="1"/>
  </r>
  <r>
    <s v="ORD0398"/>
    <x v="181"/>
    <s v="C007"/>
    <x v="19"/>
    <x v="4"/>
    <x v="2"/>
    <x v="3"/>
    <x v="4"/>
    <n v="2"/>
    <n v="3500"/>
    <n v="0"/>
    <n v="7000"/>
    <n v="4800"/>
    <n v="2200"/>
    <x v="3"/>
    <x v="0"/>
    <x v="0"/>
    <b v="1"/>
  </r>
  <r>
    <s v="ORD0399"/>
    <x v="241"/>
    <s v="C005"/>
    <x v="18"/>
    <x v="11"/>
    <x v="3"/>
    <x v="1"/>
    <x v="11"/>
    <n v="2"/>
    <n v="900"/>
    <n v="0.05"/>
    <n v="1710"/>
    <n v="1000"/>
    <n v="710"/>
    <x v="0"/>
    <x v="1"/>
    <x v="6"/>
    <b v="1"/>
  </r>
  <r>
    <s v="ORD0400"/>
    <x v="152"/>
    <s v="C013"/>
    <x v="15"/>
    <x v="11"/>
    <x v="3"/>
    <x v="3"/>
    <x v="6"/>
    <n v="1"/>
    <n v="900"/>
    <n v="0.05"/>
    <n v="855"/>
    <n v="500"/>
    <n v="355"/>
    <x v="2"/>
    <x v="0"/>
    <x v="2"/>
    <b v="1"/>
  </r>
  <r>
    <s v="ORD0401"/>
    <x v="128"/>
    <s v="C016"/>
    <x v="9"/>
    <x v="9"/>
    <x v="3"/>
    <x v="0"/>
    <x v="10"/>
    <n v="3"/>
    <n v="1800"/>
    <n v="0.15"/>
    <n v="4590"/>
    <n v="3300"/>
    <n v="1290"/>
    <x v="3"/>
    <x v="0"/>
    <x v="5"/>
    <b v="1"/>
  </r>
  <r>
    <s v="ORD0402"/>
    <x v="144"/>
    <s v="C019"/>
    <x v="13"/>
    <x v="6"/>
    <x v="2"/>
    <x v="2"/>
    <x v="5"/>
    <n v="2"/>
    <n v="6000"/>
    <n v="0.05"/>
    <n v="11400"/>
    <n v="8400"/>
    <n v="3000"/>
    <x v="2"/>
    <x v="0"/>
    <x v="2"/>
    <b v="1"/>
  </r>
  <r>
    <s v="ORD0403"/>
    <x v="242"/>
    <s v="C019"/>
    <x v="13"/>
    <x v="1"/>
    <x v="1"/>
    <x v="1"/>
    <x v="1"/>
    <n v="5"/>
    <n v="7000"/>
    <n v="0.15"/>
    <n v="29750"/>
    <n v="24000"/>
    <n v="5750"/>
    <x v="3"/>
    <x v="0"/>
    <x v="6"/>
    <b v="1"/>
  </r>
  <r>
    <s v="ORD0404"/>
    <x v="0"/>
    <s v="C019"/>
    <x v="13"/>
    <x v="12"/>
    <x v="0"/>
    <x v="0"/>
    <x v="9"/>
    <n v="4"/>
    <n v="25000"/>
    <n v="0"/>
    <n v="100000"/>
    <n v="82000"/>
    <n v="18000"/>
    <x v="2"/>
    <x v="1"/>
    <x v="0"/>
    <b v="1"/>
  </r>
  <r>
    <s v="ORD0405"/>
    <x v="161"/>
    <s v="C006"/>
    <x v="6"/>
    <x v="9"/>
    <x v="3"/>
    <x v="3"/>
    <x v="6"/>
    <n v="1"/>
    <n v="1800"/>
    <n v="0"/>
    <n v="1800"/>
    <n v="1100"/>
    <n v="700"/>
    <x v="3"/>
    <x v="0"/>
    <x v="11"/>
    <b v="1"/>
  </r>
  <r>
    <s v="ORD0406"/>
    <x v="78"/>
    <s v="C003"/>
    <x v="14"/>
    <x v="2"/>
    <x v="1"/>
    <x v="1"/>
    <x v="11"/>
    <n v="3"/>
    <n v="12000"/>
    <n v="0"/>
    <n v="36000"/>
    <n v="25500"/>
    <n v="10500"/>
    <x v="0"/>
    <x v="1"/>
    <x v="10"/>
    <b v="1"/>
  </r>
  <r>
    <s v="ORD0407"/>
    <x v="19"/>
    <s v="C014"/>
    <x v="1"/>
    <x v="5"/>
    <x v="0"/>
    <x v="2"/>
    <x v="5"/>
    <n v="4"/>
    <n v="2500"/>
    <n v="0.05"/>
    <n v="9500"/>
    <n v="6800"/>
    <n v="2700"/>
    <x v="1"/>
    <x v="0"/>
    <x v="5"/>
    <b v="1"/>
  </r>
  <r>
    <s v="ORD0408"/>
    <x v="76"/>
    <s v="C019"/>
    <x v="13"/>
    <x v="9"/>
    <x v="3"/>
    <x v="0"/>
    <x v="9"/>
    <n v="2"/>
    <n v="1800"/>
    <n v="0"/>
    <n v="3600"/>
    <n v="2200"/>
    <n v="1400"/>
    <x v="0"/>
    <x v="1"/>
    <x v="8"/>
    <b v="1"/>
  </r>
  <r>
    <s v="ORD0409"/>
    <x v="243"/>
    <s v="C011"/>
    <x v="5"/>
    <x v="3"/>
    <x v="1"/>
    <x v="1"/>
    <x v="8"/>
    <n v="1"/>
    <n v="8000"/>
    <n v="0"/>
    <n v="8000"/>
    <n v="5600"/>
    <n v="2400"/>
    <x v="1"/>
    <x v="0"/>
    <x v="6"/>
    <b v="1"/>
  </r>
  <r>
    <s v="ORD0410"/>
    <x v="66"/>
    <s v="C018"/>
    <x v="2"/>
    <x v="12"/>
    <x v="0"/>
    <x v="2"/>
    <x v="2"/>
    <n v="3"/>
    <n v="25000"/>
    <n v="0"/>
    <n v="75000"/>
    <n v="61500"/>
    <n v="13500"/>
    <x v="1"/>
    <x v="0"/>
    <x v="4"/>
    <b v="1"/>
  </r>
  <r>
    <s v="ORD0411"/>
    <x v="244"/>
    <s v="C014"/>
    <x v="1"/>
    <x v="5"/>
    <x v="0"/>
    <x v="1"/>
    <x v="8"/>
    <n v="1"/>
    <n v="2500"/>
    <n v="0"/>
    <n v="2500"/>
    <n v="1700"/>
    <n v="800"/>
    <x v="2"/>
    <x v="1"/>
    <x v="0"/>
    <b v="1"/>
  </r>
  <r>
    <s v="ORD0412"/>
    <x v="195"/>
    <s v="C018"/>
    <x v="2"/>
    <x v="8"/>
    <x v="2"/>
    <x v="3"/>
    <x v="4"/>
    <n v="5"/>
    <n v="4500"/>
    <n v="0.05"/>
    <n v="21375"/>
    <n v="15500"/>
    <n v="5875"/>
    <x v="3"/>
    <x v="0"/>
    <x v="2"/>
    <b v="1"/>
  </r>
  <r>
    <s v="ORD0413"/>
    <x v="245"/>
    <s v="C002"/>
    <x v="11"/>
    <x v="1"/>
    <x v="1"/>
    <x v="2"/>
    <x v="7"/>
    <n v="5"/>
    <n v="7000"/>
    <n v="0"/>
    <n v="35000"/>
    <n v="24000"/>
    <n v="11000"/>
    <x v="3"/>
    <x v="0"/>
    <x v="4"/>
    <b v="1"/>
  </r>
  <r>
    <s v="ORD0414"/>
    <x v="117"/>
    <s v="C003"/>
    <x v="14"/>
    <x v="3"/>
    <x v="1"/>
    <x v="2"/>
    <x v="7"/>
    <n v="5"/>
    <n v="8000"/>
    <n v="0"/>
    <n v="40000"/>
    <n v="28000"/>
    <n v="12000"/>
    <x v="0"/>
    <x v="0"/>
    <x v="5"/>
    <b v="1"/>
  </r>
  <r>
    <s v="ORD0415"/>
    <x v="246"/>
    <s v="C010"/>
    <x v="16"/>
    <x v="12"/>
    <x v="0"/>
    <x v="1"/>
    <x v="8"/>
    <n v="4"/>
    <n v="25000"/>
    <n v="0.1"/>
    <n v="90000"/>
    <n v="82000"/>
    <n v="8000"/>
    <x v="1"/>
    <x v="1"/>
    <x v="7"/>
    <b v="1"/>
  </r>
  <r>
    <s v="ORD0416"/>
    <x v="6"/>
    <s v="C009"/>
    <x v="17"/>
    <x v="12"/>
    <x v="0"/>
    <x v="2"/>
    <x v="7"/>
    <n v="5"/>
    <n v="25000"/>
    <n v="0.05"/>
    <n v="118750"/>
    <n v="102500"/>
    <n v="16250"/>
    <x v="1"/>
    <x v="1"/>
    <x v="2"/>
    <b v="1"/>
  </r>
  <r>
    <s v="ORD0417"/>
    <x v="247"/>
    <s v="C015"/>
    <x v="12"/>
    <x v="0"/>
    <x v="0"/>
    <x v="2"/>
    <x v="5"/>
    <n v="3"/>
    <n v="55000"/>
    <n v="0.05"/>
    <n v="156750"/>
    <n v="135000"/>
    <n v="21750"/>
    <x v="2"/>
    <x v="1"/>
    <x v="9"/>
    <b v="1"/>
  </r>
  <r>
    <s v="ORD0418"/>
    <x v="183"/>
    <s v="C002"/>
    <x v="11"/>
    <x v="5"/>
    <x v="0"/>
    <x v="1"/>
    <x v="11"/>
    <n v="1"/>
    <n v="2500"/>
    <n v="0.05"/>
    <n v="2375"/>
    <n v="1700"/>
    <n v="675"/>
    <x v="1"/>
    <x v="0"/>
    <x v="1"/>
    <b v="1"/>
  </r>
  <r>
    <s v="ORD0419"/>
    <x v="14"/>
    <s v="C002"/>
    <x v="11"/>
    <x v="6"/>
    <x v="2"/>
    <x v="2"/>
    <x v="2"/>
    <n v="4"/>
    <n v="6000"/>
    <n v="0.1"/>
    <n v="21600"/>
    <n v="16800"/>
    <n v="4800"/>
    <x v="2"/>
    <x v="1"/>
    <x v="1"/>
    <b v="1"/>
  </r>
  <r>
    <s v="ORD0420"/>
    <x v="191"/>
    <s v="C003"/>
    <x v="14"/>
    <x v="1"/>
    <x v="1"/>
    <x v="0"/>
    <x v="0"/>
    <n v="1"/>
    <n v="7000"/>
    <n v="0.1"/>
    <n v="6300"/>
    <n v="4800"/>
    <n v="1500"/>
    <x v="2"/>
    <x v="0"/>
    <x v="11"/>
    <b v="1"/>
  </r>
  <r>
    <s v="ORD0421"/>
    <x v="248"/>
    <s v="C007"/>
    <x v="19"/>
    <x v="5"/>
    <x v="0"/>
    <x v="2"/>
    <x v="7"/>
    <n v="1"/>
    <n v="2500"/>
    <n v="0.1"/>
    <n v="2250"/>
    <n v="1700"/>
    <n v="550"/>
    <x v="2"/>
    <x v="0"/>
    <x v="9"/>
    <b v="1"/>
  </r>
  <r>
    <s v="ORD0422"/>
    <x v="249"/>
    <s v="C009"/>
    <x v="17"/>
    <x v="2"/>
    <x v="1"/>
    <x v="1"/>
    <x v="8"/>
    <n v="1"/>
    <n v="12000"/>
    <n v="0.15"/>
    <n v="10200"/>
    <n v="8500"/>
    <n v="1700"/>
    <x v="1"/>
    <x v="1"/>
    <x v="0"/>
    <b v="1"/>
  </r>
  <r>
    <s v="ORD0423"/>
    <x v="250"/>
    <s v="C017"/>
    <x v="8"/>
    <x v="10"/>
    <x v="4"/>
    <x v="2"/>
    <x v="7"/>
    <n v="1"/>
    <n v="1800"/>
    <n v="0.1"/>
    <n v="1620"/>
    <n v="1100"/>
    <n v="520"/>
    <x v="2"/>
    <x v="0"/>
    <x v="10"/>
    <b v="1"/>
  </r>
  <r>
    <s v="ORD0424"/>
    <x v="10"/>
    <s v="C019"/>
    <x v="13"/>
    <x v="11"/>
    <x v="3"/>
    <x v="1"/>
    <x v="11"/>
    <n v="1"/>
    <n v="900"/>
    <n v="0"/>
    <n v="900"/>
    <n v="500"/>
    <n v="400"/>
    <x v="3"/>
    <x v="1"/>
    <x v="1"/>
    <b v="1"/>
  </r>
  <r>
    <s v="ORD0425"/>
    <x v="251"/>
    <s v="C009"/>
    <x v="17"/>
    <x v="1"/>
    <x v="1"/>
    <x v="2"/>
    <x v="7"/>
    <n v="4"/>
    <n v="7000"/>
    <n v="0"/>
    <n v="28000"/>
    <n v="19200"/>
    <n v="8800"/>
    <x v="3"/>
    <x v="1"/>
    <x v="3"/>
    <b v="1"/>
  </r>
  <r>
    <s v="ORD0426"/>
    <x v="167"/>
    <s v="C020"/>
    <x v="10"/>
    <x v="11"/>
    <x v="3"/>
    <x v="1"/>
    <x v="8"/>
    <n v="4"/>
    <n v="900"/>
    <n v="0.05"/>
    <n v="3420"/>
    <n v="2000"/>
    <n v="1420"/>
    <x v="2"/>
    <x v="0"/>
    <x v="7"/>
    <b v="1"/>
  </r>
  <r>
    <s v="ORD0427"/>
    <x v="169"/>
    <s v="C009"/>
    <x v="17"/>
    <x v="2"/>
    <x v="1"/>
    <x v="3"/>
    <x v="6"/>
    <n v="1"/>
    <n v="12000"/>
    <n v="0.05"/>
    <n v="11400"/>
    <n v="8500"/>
    <n v="2900"/>
    <x v="3"/>
    <x v="1"/>
    <x v="8"/>
    <b v="1"/>
  </r>
  <r>
    <s v="ORD0428"/>
    <x v="195"/>
    <s v="C004"/>
    <x v="0"/>
    <x v="6"/>
    <x v="2"/>
    <x v="0"/>
    <x v="9"/>
    <n v="2"/>
    <n v="6000"/>
    <n v="0.1"/>
    <n v="10800"/>
    <n v="8400"/>
    <n v="2400"/>
    <x v="3"/>
    <x v="1"/>
    <x v="2"/>
    <b v="1"/>
  </r>
  <r>
    <s v="ORD0429"/>
    <x v="252"/>
    <s v="C020"/>
    <x v="10"/>
    <x v="9"/>
    <x v="3"/>
    <x v="0"/>
    <x v="9"/>
    <n v="1"/>
    <n v="1800"/>
    <n v="0"/>
    <n v="1800"/>
    <n v="1100"/>
    <n v="700"/>
    <x v="1"/>
    <x v="1"/>
    <x v="5"/>
    <b v="1"/>
  </r>
  <r>
    <s v="ORD0430"/>
    <x v="220"/>
    <s v="C012"/>
    <x v="4"/>
    <x v="6"/>
    <x v="2"/>
    <x v="0"/>
    <x v="0"/>
    <n v="1"/>
    <n v="6000"/>
    <n v="0.05"/>
    <n v="5700"/>
    <n v="4200"/>
    <n v="1500"/>
    <x v="1"/>
    <x v="0"/>
    <x v="8"/>
    <b v="1"/>
  </r>
  <r>
    <s v="ORD0431"/>
    <x v="171"/>
    <s v="C019"/>
    <x v="13"/>
    <x v="0"/>
    <x v="0"/>
    <x v="0"/>
    <x v="0"/>
    <n v="2"/>
    <n v="55000"/>
    <n v="0"/>
    <n v="110000"/>
    <n v="90000"/>
    <n v="20000"/>
    <x v="2"/>
    <x v="0"/>
    <x v="8"/>
    <b v="1"/>
  </r>
  <r>
    <s v="ORD0432"/>
    <x v="56"/>
    <s v="C002"/>
    <x v="11"/>
    <x v="2"/>
    <x v="1"/>
    <x v="3"/>
    <x v="6"/>
    <n v="2"/>
    <n v="12000"/>
    <n v="0.1"/>
    <n v="21600"/>
    <n v="17000"/>
    <n v="4600"/>
    <x v="1"/>
    <x v="0"/>
    <x v="5"/>
    <b v="1"/>
  </r>
  <r>
    <s v="ORD0433"/>
    <x v="253"/>
    <s v="C001"/>
    <x v="7"/>
    <x v="7"/>
    <x v="0"/>
    <x v="2"/>
    <x v="2"/>
    <n v="3"/>
    <n v="5000"/>
    <n v="0.1"/>
    <n v="13500"/>
    <n v="10500"/>
    <n v="3000"/>
    <x v="2"/>
    <x v="1"/>
    <x v="2"/>
    <b v="1"/>
  </r>
  <r>
    <s v="ORD0434"/>
    <x v="105"/>
    <s v="C018"/>
    <x v="2"/>
    <x v="2"/>
    <x v="1"/>
    <x v="0"/>
    <x v="9"/>
    <n v="3"/>
    <n v="12000"/>
    <n v="0"/>
    <n v="36000"/>
    <n v="25500"/>
    <n v="10500"/>
    <x v="3"/>
    <x v="0"/>
    <x v="1"/>
    <b v="1"/>
  </r>
  <r>
    <s v="ORD0435"/>
    <x v="254"/>
    <s v="C002"/>
    <x v="11"/>
    <x v="5"/>
    <x v="0"/>
    <x v="0"/>
    <x v="0"/>
    <n v="5"/>
    <n v="2500"/>
    <n v="0"/>
    <n v="12500"/>
    <n v="8500"/>
    <n v="4000"/>
    <x v="2"/>
    <x v="1"/>
    <x v="3"/>
    <b v="1"/>
  </r>
  <r>
    <s v="ORD0436"/>
    <x v="212"/>
    <s v="C014"/>
    <x v="1"/>
    <x v="13"/>
    <x v="3"/>
    <x v="1"/>
    <x v="8"/>
    <n v="1"/>
    <n v="3000"/>
    <n v="0"/>
    <n v="3000"/>
    <n v="1900"/>
    <n v="1100"/>
    <x v="2"/>
    <x v="0"/>
    <x v="0"/>
    <b v="1"/>
  </r>
  <r>
    <s v="ORD0437"/>
    <x v="234"/>
    <s v="C009"/>
    <x v="17"/>
    <x v="11"/>
    <x v="3"/>
    <x v="3"/>
    <x v="6"/>
    <n v="3"/>
    <n v="900"/>
    <n v="0.1"/>
    <n v="2430"/>
    <n v="1500"/>
    <n v="930"/>
    <x v="3"/>
    <x v="1"/>
    <x v="9"/>
    <b v="1"/>
  </r>
  <r>
    <s v="ORD0438"/>
    <x v="255"/>
    <s v="C007"/>
    <x v="19"/>
    <x v="10"/>
    <x v="4"/>
    <x v="2"/>
    <x v="2"/>
    <n v="3"/>
    <n v="1800"/>
    <n v="0"/>
    <n v="5400"/>
    <n v="3300"/>
    <n v="2100"/>
    <x v="0"/>
    <x v="1"/>
    <x v="10"/>
    <b v="1"/>
  </r>
  <r>
    <s v="ORD0439"/>
    <x v="256"/>
    <s v="C020"/>
    <x v="10"/>
    <x v="11"/>
    <x v="3"/>
    <x v="3"/>
    <x v="4"/>
    <n v="3"/>
    <n v="900"/>
    <n v="0"/>
    <n v="2700"/>
    <n v="1500"/>
    <n v="1200"/>
    <x v="1"/>
    <x v="0"/>
    <x v="1"/>
    <b v="1"/>
  </r>
  <r>
    <s v="ORD0440"/>
    <x v="227"/>
    <s v="C009"/>
    <x v="17"/>
    <x v="9"/>
    <x v="3"/>
    <x v="3"/>
    <x v="6"/>
    <n v="3"/>
    <n v="1800"/>
    <n v="0.05"/>
    <n v="5130"/>
    <n v="3300"/>
    <n v="1830"/>
    <x v="2"/>
    <x v="0"/>
    <x v="11"/>
    <b v="1"/>
  </r>
  <r>
    <s v="ORD0441"/>
    <x v="220"/>
    <s v="C008"/>
    <x v="3"/>
    <x v="0"/>
    <x v="0"/>
    <x v="2"/>
    <x v="2"/>
    <n v="5"/>
    <n v="55000"/>
    <n v="0.05"/>
    <n v="261250"/>
    <n v="225000"/>
    <n v="36250"/>
    <x v="2"/>
    <x v="0"/>
    <x v="8"/>
    <b v="1"/>
  </r>
  <r>
    <s v="ORD0442"/>
    <x v="130"/>
    <s v="C016"/>
    <x v="9"/>
    <x v="3"/>
    <x v="1"/>
    <x v="2"/>
    <x v="5"/>
    <n v="3"/>
    <n v="8000"/>
    <n v="0.1"/>
    <n v="21600"/>
    <n v="16800"/>
    <n v="4800"/>
    <x v="0"/>
    <x v="0"/>
    <x v="2"/>
    <b v="1"/>
  </r>
  <r>
    <s v="ORD0443"/>
    <x v="257"/>
    <s v="C008"/>
    <x v="3"/>
    <x v="9"/>
    <x v="3"/>
    <x v="2"/>
    <x v="2"/>
    <n v="5"/>
    <n v="1800"/>
    <n v="0.05"/>
    <n v="8550"/>
    <n v="5500"/>
    <n v="3050"/>
    <x v="3"/>
    <x v="0"/>
    <x v="11"/>
    <b v="1"/>
  </r>
  <r>
    <s v="ORD0444"/>
    <x v="235"/>
    <s v="C018"/>
    <x v="2"/>
    <x v="5"/>
    <x v="0"/>
    <x v="1"/>
    <x v="8"/>
    <n v="3"/>
    <n v="2500"/>
    <n v="0"/>
    <n v="7500"/>
    <n v="5100"/>
    <n v="2400"/>
    <x v="3"/>
    <x v="0"/>
    <x v="2"/>
    <b v="1"/>
  </r>
  <r>
    <s v="ORD0445"/>
    <x v="253"/>
    <s v="C011"/>
    <x v="5"/>
    <x v="9"/>
    <x v="3"/>
    <x v="0"/>
    <x v="9"/>
    <n v="1"/>
    <n v="1800"/>
    <n v="0"/>
    <n v="1800"/>
    <n v="1100"/>
    <n v="700"/>
    <x v="3"/>
    <x v="1"/>
    <x v="2"/>
    <b v="1"/>
  </r>
  <r>
    <s v="ORD0446"/>
    <x v="216"/>
    <s v="C012"/>
    <x v="4"/>
    <x v="3"/>
    <x v="1"/>
    <x v="3"/>
    <x v="6"/>
    <n v="5"/>
    <n v="8000"/>
    <n v="0"/>
    <n v="40000"/>
    <n v="28000"/>
    <n v="12000"/>
    <x v="1"/>
    <x v="0"/>
    <x v="11"/>
    <b v="1"/>
  </r>
  <r>
    <s v="ORD0447"/>
    <x v="258"/>
    <s v="C019"/>
    <x v="13"/>
    <x v="11"/>
    <x v="3"/>
    <x v="1"/>
    <x v="8"/>
    <n v="5"/>
    <n v="900"/>
    <n v="0"/>
    <n v="4500"/>
    <n v="2500"/>
    <n v="2000"/>
    <x v="0"/>
    <x v="1"/>
    <x v="0"/>
    <b v="1"/>
  </r>
  <r>
    <s v="ORD0448"/>
    <x v="122"/>
    <s v="C010"/>
    <x v="16"/>
    <x v="1"/>
    <x v="1"/>
    <x v="0"/>
    <x v="0"/>
    <n v="1"/>
    <n v="7000"/>
    <n v="0"/>
    <n v="7000"/>
    <n v="4800"/>
    <n v="2200"/>
    <x v="3"/>
    <x v="1"/>
    <x v="8"/>
    <b v="1"/>
  </r>
  <r>
    <s v="ORD0449"/>
    <x v="166"/>
    <s v="C015"/>
    <x v="12"/>
    <x v="5"/>
    <x v="0"/>
    <x v="0"/>
    <x v="0"/>
    <n v="3"/>
    <n v="2500"/>
    <n v="0.1"/>
    <n v="6750"/>
    <n v="5100"/>
    <n v="1650"/>
    <x v="3"/>
    <x v="0"/>
    <x v="1"/>
    <b v="1"/>
  </r>
  <r>
    <s v="ORD0450"/>
    <x v="46"/>
    <s v="C002"/>
    <x v="11"/>
    <x v="0"/>
    <x v="0"/>
    <x v="3"/>
    <x v="3"/>
    <n v="4"/>
    <n v="55000"/>
    <n v="0"/>
    <n v="220000"/>
    <n v="180000"/>
    <n v="40000"/>
    <x v="2"/>
    <x v="1"/>
    <x v="11"/>
    <b v="1"/>
  </r>
  <r>
    <s v="ORD0451"/>
    <x v="259"/>
    <s v="C005"/>
    <x v="18"/>
    <x v="11"/>
    <x v="3"/>
    <x v="2"/>
    <x v="5"/>
    <n v="4"/>
    <n v="900"/>
    <n v="0.1"/>
    <n v="3240"/>
    <n v="2000"/>
    <n v="1240"/>
    <x v="1"/>
    <x v="1"/>
    <x v="4"/>
    <b v="1"/>
  </r>
  <r>
    <s v="ORD0452"/>
    <x v="260"/>
    <s v="C002"/>
    <x v="11"/>
    <x v="13"/>
    <x v="3"/>
    <x v="3"/>
    <x v="3"/>
    <n v="2"/>
    <n v="3000"/>
    <n v="0.05"/>
    <n v="5700"/>
    <n v="3800"/>
    <n v="1900"/>
    <x v="2"/>
    <x v="0"/>
    <x v="6"/>
    <b v="1"/>
  </r>
  <r>
    <s v="ORD0453"/>
    <x v="261"/>
    <s v="C001"/>
    <x v="7"/>
    <x v="9"/>
    <x v="3"/>
    <x v="0"/>
    <x v="10"/>
    <n v="2"/>
    <n v="1800"/>
    <n v="0.05"/>
    <n v="3420"/>
    <n v="2200"/>
    <n v="1220"/>
    <x v="3"/>
    <x v="0"/>
    <x v="2"/>
    <b v="1"/>
  </r>
  <r>
    <s v="ORD0454"/>
    <x v="262"/>
    <s v="C013"/>
    <x v="15"/>
    <x v="13"/>
    <x v="3"/>
    <x v="3"/>
    <x v="3"/>
    <n v="5"/>
    <n v="3000"/>
    <n v="0"/>
    <n v="15000"/>
    <n v="9500"/>
    <n v="5500"/>
    <x v="0"/>
    <x v="1"/>
    <x v="4"/>
    <b v="1"/>
  </r>
  <r>
    <s v="ORD0455"/>
    <x v="163"/>
    <s v="C015"/>
    <x v="12"/>
    <x v="8"/>
    <x v="2"/>
    <x v="3"/>
    <x v="6"/>
    <n v="5"/>
    <n v="4500"/>
    <n v="0"/>
    <n v="22500"/>
    <n v="15500"/>
    <n v="7000"/>
    <x v="3"/>
    <x v="1"/>
    <x v="10"/>
    <b v="1"/>
  </r>
  <r>
    <s v="ORD0456"/>
    <x v="263"/>
    <s v="C007"/>
    <x v="19"/>
    <x v="5"/>
    <x v="0"/>
    <x v="1"/>
    <x v="1"/>
    <n v="4"/>
    <n v="2500"/>
    <n v="0"/>
    <n v="10000"/>
    <n v="6800"/>
    <n v="3200"/>
    <x v="2"/>
    <x v="0"/>
    <x v="3"/>
    <b v="1"/>
  </r>
  <r>
    <s v="ORD0457"/>
    <x v="241"/>
    <s v="C019"/>
    <x v="13"/>
    <x v="13"/>
    <x v="3"/>
    <x v="1"/>
    <x v="8"/>
    <n v="2"/>
    <n v="3000"/>
    <n v="0"/>
    <n v="6000"/>
    <n v="3800"/>
    <n v="2200"/>
    <x v="1"/>
    <x v="1"/>
    <x v="6"/>
    <b v="1"/>
  </r>
  <r>
    <s v="ORD0458"/>
    <x v="8"/>
    <s v="C020"/>
    <x v="10"/>
    <x v="0"/>
    <x v="0"/>
    <x v="1"/>
    <x v="11"/>
    <n v="5"/>
    <n v="55000"/>
    <n v="0"/>
    <n v="275000"/>
    <n v="225000"/>
    <n v="50000"/>
    <x v="0"/>
    <x v="0"/>
    <x v="1"/>
    <b v="1"/>
  </r>
  <r>
    <s v="ORD0459"/>
    <x v="38"/>
    <s v="C004"/>
    <x v="0"/>
    <x v="1"/>
    <x v="1"/>
    <x v="2"/>
    <x v="7"/>
    <n v="4"/>
    <n v="7000"/>
    <n v="0.15"/>
    <n v="23800"/>
    <n v="19200"/>
    <n v="4600"/>
    <x v="3"/>
    <x v="1"/>
    <x v="2"/>
    <b v="1"/>
  </r>
  <r>
    <s v="ORD0460"/>
    <x v="42"/>
    <s v="C005"/>
    <x v="18"/>
    <x v="7"/>
    <x v="0"/>
    <x v="3"/>
    <x v="6"/>
    <n v="1"/>
    <n v="5000"/>
    <n v="0"/>
    <n v="5000"/>
    <n v="3500"/>
    <n v="1500"/>
    <x v="3"/>
    <x v="0"/>
    <x v="2"/>
    <b v="1"/>
  </r>
  <r>
    <s v="ORD0461"/>
    <x v="264"/>
    <s v="C004"/>
    <x v="0"/>
    <x v="13"/>
    <x v="3"/>
    <x v="1"/>
    <x v="8"/>
    <n v="5"/>
    <n v="3000"/>
    <n v="0"/>
    <n v="15000"/>
    <n v="9500"/>
    <n v="5500"/>
    <x v="0"/>
    <x v="1"/>
    <x v="5"/>
    <b v="1"/>
  </r>
  <r>
    <s v="ORD0462"/>
    <x v="99"/>
    <s v="C020"/>
    <x v="10"/>
    <x v="7"/>
    <x v="0"/>
    <x v="0"/>
    <x v="9"/>
    <n v="3"/>
    <n v="5000"/>
    <n v="0.1"/>
    <n v="13500"/>
    <n v="10500"/>
    <n v="3000"/>
    <x v="3"/>
    <x v="0"/>
    <x v="9"/>
    <b v="1"/>
  </r>
  <r>
    <s v="ORD0463"/>
    <x v="265"/>
    <s v="C018"/>
    <x v="2"/>
    <x v="10"/>
    <x v="4"/>
    <x v="2"/>
    <x v="5"/>
    <n v="2"/>
    <n v="1800"/>
    <n v="0"/>
    <n v="3600"/>
    <n v="2200"/>
    <n v="1400"/>
    <x v="0"/>
    <x v="0"/>
    <x v="6"/>
    <b v="1"/>
  </r>
  <r>
    <s v="ORD0464"/>
    <x v="118"/>
    <s v="C003"/>
    <x v="14"/>
    <x v="12"/>
    <x v="0"/>
    <x v="2"/>
    <x v="7"/>
    <n v="5"/>
    <n v="25000"/>
    <n v="0"/>
    <n v="125000"/>
    <n v="102500"/>
    <n v="22500"/>
    <x v="0"/>
    <x v="0"/>
    <x v="2"/>
    <b v="1"/>
  </r>
  <r>
    <s v="ORD0465"/>
    <x v="198"/>
    <s v="C008"/>
    <x v="3"/>
    <x v="10"/>
    <x v="4"/>
    <x v="3"/>
    <x v="6"/>
    <n v="3"/>
    <n v="1800"/>
    <n v="0"/>
    <n v="5400"/>
    <n v="3300"/>
    <n v="2100"/>
    <x v="0"/>
    <x v="0"/>
    <x v="10"/>
    <b v="1"/>
  </r>
  <r>
    <s v="ORD0466"/>
    <x v="265"/>
    <s v="C010"/>
    <x v="16"/>
    <x v="2"/>
    <x v="1"/>
    <x v="2"/>
    <x v="2"/>
    <n v="3"/>
    <n v="12000"/>
    <n v="0"/>
    <n v="36000"/>
    <n v="25500"/>
    <n v="10500"/>
    <x v="0"/>
    <x v="0"/>
    <x v="6"/>
    <b v="1"/>
  </r>
  <r>
    <s v="ORD0467"/>
    <x v="222"/>
    <s v="C005"/>
    <x v="18"/>
    <x v="9"/>
    <x v="3"/>
    <x v="3"/>
    <x v="6"/>
    <n v="2"/>
    <n v="1800"/>
    <n v="0.1"/>
    <n v="3240"/>
    <n v="2200"/>
    <n v="1040"/>
    <x v="3"/>
    <x v="0"/>
    <x v="6"/>
    <b v="1"/>
  </r>
  <r>
    <s v="ORD0468"/>
    <x v="232"/>
    <s v="C011"/>
    <x v="5"/>
    <x v="5"/>
    <x v="0"/>
    <x v="2"/>
    <x v="5"/>
    <n v="1"/>
    <n v="2500"/>
    <n v="0.1"/>
    <n v="2250"/>
    <n v="1700"/>
    <n v="550"/>
    <x v="3"/>
    <x v="1"/>
    <x v="3"/>
    <b v="1"/>
  </r>
  <r>
    <s v="ORD0469"/>
    <x v="38"/>
    <s v="C016"/>
    <x v="9"/>
    <x v="4"/>
    <x v="2"/>
    <x v="0"/>
    <x v="0"/>
    <n v="4"/>
    <n v="3500"/>
    <n v="0"/>
    <n v="14000"/>
    <n v="9600"/>
    <n v="4400"/>
    <x v="0"/>
    <x v="0"/>
    <x v="2"/>
    <b v="1"/>
  </r>
  <r>
    <s v="ORD0470"/>
    <x v="266"/>
    <s v="C014"/>
    <x v="1"/>
    <x v="11"/>
    <x v="3"/>
    <x v="2"/>
    <x v="7"/>
    <n v="4"/>
    <n v="900"/>
    <n v="0.15"/>
    <n v="3060"/>
    <n v="2000"/>
    <n v="1060"/>
    <x v="1"/>
    <x v="1"/>
    <x v="4"/>
    <b v="1"/>
  </r>
  <r>
    <s v="ORD0471"/>
    <x v="168"/>
    <s v="C001"/>
    <x v="7"/>
    <x v="6"/>
    <x v="2"/>
    <x v="2"/>
    <x v="5"/>
    <n v="2"/>
    <n v="6000"/>
    <n v="0"/>
    <n v="12000"/>
    <n v="8400"/>
    <n v="3600"/>
    <x v="1"/>
    <x v="1"/>
    <x v="0"/>
    <b v="1"/>
  </r>
  <r>
    <s v="ORD0472"/>
    <x v="124"/>
    <s v="C003"/>
    <x v="14"/>
    <x v="3"/>
    <x v="1"/>
    <x v="1"/>
    <x v="11"/>
    <n v="3"/>
    <n v="8000"/>
    <n v="0.15"/>
    <n v="20400"/>
    <n v="16800"/>
    <n v="3600"/>
    <x v="2"/>
    <x v="1"/>
    <x v="6"/>
    <b v="1"/>
  </r>
  <r>
    <s v="ORD0473"/>
    <x v="157"/>
    <s v="C017"/>
    <x v="8"/>
    <x v="8"/>
    <x v="2"/>
    <x v="1"/>
    <x v="8"/>
    <n v="5"/>
    <n v="4500"/>
    <n v="0"/>
    <n v="22500"/>
    <n v="15500"/>
    <n v="7000"/>
    <x v="1"/>
    <x v="1"/>
    <x v="8"/>
    <b v="1"/>
  </r>
  <r>
    <s v="ORD0474"/>
    <x v="107"/>
    <s v="C013"/>
    <x v="15"/>
    <x v="5"/>
    <x v="0"/>
    <x v="1"/>
    <x v="1"/>
    <n v="5"/>
    <n v="2500"/>
    <n v="0"/>
    <n v="12500"/>
    <n v="8500"/>
    <n v="4000"/>
    <x v="1"/>
    <x v="1"/>
    <x v="2"/>
    <b v="1"/>
  </r>
  <r>
    <s v="ORD0475"/>
    <x v="83"/>
    <s v="C003"/>
    <x v="14"/>
    <x v="4"/>
    <x v="2"/>
    <x v="3"/>
    <x v="3"/>
    <n v="4"/>
    <n v="3500"/>
    <n v="0.05"/>
    <n v="13300"/>
    <n v="9600"/>
    <n v="3700"/>
    <x v="3"/>
    <x v="0"/>
    <x v="7"/>
    <b v="1"/>
  </r>
  <r>
    <s v="ORD0476"/>
    <x v="90"/>
    <s v="C008"/>
    <x v="3"/>
    <x v="13"/>
    <x v="3"/>
    <x v="2"/>
    <x v="7"/>
    <n v="4"/>
    <n v="3000"/>
    <n v="0"/>
    <n v="12000"/>
    <n v="7600"/>
    <n v="4400"/>
    <x v="1"/>
    <x v="1"/>
    <x v="8"/>
    <b v="1"/>
  </r>
  <r>
    <s v="ORD0477"/>
    <x v="150"/>
    <s v="C015"/>
    <x v="12"/>
    <x v="12"/>
    <x v="0"/>
    <x v="2"/>
    <x v="5"/>
    <n v="4"/>
    <n v="25000"/>
    <n v="0"/>
    <n v="100000"/>
    <n v="82000"/>
    <n v="18000"/>
    <x v="1"/>
    <x v="0"/>
    <x v="1"/>
    <b v="1"/>
  </r>
  <r>
    <s v="ORD0478"/>
    <x v="262"/>
    <s v="C013"/>
    <x v="15"/>
    <x v="1"/>
    <x v="1"/>
    <x v="1"/>
    <x v="1"/>
    <n v="1"/>
    <n v="7000"/>
    <n v="0.15"/>
    <n v="5950"/>
    <n v="4800"/>
    <n v="1150"/>
    <x v="3"/>
    <x v="0"/>
    <x v="4"/>
    <b v="1"/>
  </r>
  <r>
    <s v="ORD0479"/>
    <x v="130"/>
    <s v="C015"/>
    <x v="12"/>
    <x v="2"/>
    <x v="1"/>
    <x v="1"/>
    <x v="1"/>
    <n v="3"/>
    <n v="12000"/>
    <n v="0.1"/>
    <n v="32400"/>
    <n v="25500"/>
    <n v="6900"/>
    <x v="3"/>
    <x v="1"/>
    <x v="2"/>
    <b v="1"/>
  </r>
  <r>
    <s v="ORD0480"/>
    <x v="235"/>
    <s v="C012"/>
    <x v="4"/>
    <x v="8"/>
    <x v="2"/>
    <x v="1"/>
    <x v="1"/>
    <n v="4"/>
    <n v="4500"/>
    <n v="0"/>
    <n v="18000"/>
    <n v="12400"/>
    <n v="5600"/>
    <x v="0"/>
    <x v="1"/>
    <x v="2"/>
    <b v="1"/>
  </r>
  <r>
    <s v="ORD0481"/>
    <x v="40"/>
    <s v="C010"/>
    <x v="16"/>
    <x v="13"/>
    <x v="3"/>
    <x v="3"/>
    <x v="4"/>
    <n v="5"/>
    <n v="3000"/>
    <n v="0"/>
    <n v="15000"/>
    <n v="9500"/>
    <n v="5500"/>
    <x v="0"/>
    <x v="0"/>
    <x v="3"/>
    <b v="1"/>
  </r>
  <r>
    <s v="ORD0482"/>
    <x v="104"/>
    <s v="C005"/>
    <x v="18"/>
    <x v="6"/>
    <x v="2"/>
    <x v="1"/>
    <x v="8"/>
    <n v="4"/>
    <n v="6000"/>
    <n v="0.15"/>
    <n v="20400"/>
    <n v="16800"/>
    <n v="3600"/>
    <x v="2"/>
    <x v="0"/>
    <x v="8"/>
    <b v="1"/>
  </r>
  <r>
    <s v="ORD0483"/>
    <x v="267"/>
    <s v="C013"/>
    <x v="15"/>
    <x v="7"/>
    <x v="0"/>
    <x v="0"/>
    <x v="10"/>
    <n v="4"/>
    <n v="5000"/>
    <n v="0.05"/>
    <n v="19000"/>
    <n v="14000"/>
    <n v="5000"/>
    <x v="0"/>
    <x v="1"/>
    <x v="7"/>
    <b v="1"/>
  </r>
  <r>
    <s v="ORD0484"/>
    <x v="124"/>
    <s v="C019"/>
    <x v="13"/>
    <x v="12"/>
    <x v="0"/>
    <x v="2"/>
    <x v="2"/>
    <n v="4"/>
    <n v="25000"/>
    <n v="0.15"/>
    <n v="85000"/>
    <n v="82000"/>
    <n v="3000"/>
    <x v="2"/>
    <x v="1"/>
    <x v="6"/>
    <b v="1"/>
  </r>
  <r>
    <s v="ORD0485"/>
    <x v="260"/>
    <s v="C017"/>
    <x v="8"/>
    <x v="8"/>
    <x v="2"/>
    <x v="2"/>
    <x v="2"/>
    <n v="1"/>
    <n v="4500"/>
    <n v="0.1"/>
    <n v="4050"/>
    <n v="3100"/>
    <n v="950"/>
    <x v="2"/>
    <x v="0"/>
    <x v="6"/>
    <b v="1"/>
  </r>
  <r>
    <s v="ORD0486"/>
    <x v="39"/>
    <s v="C004"/>
    <x v="0"/>
    <x v="1"/>
    <x v="1"/>
    <x v="3"/>
    <x v="4"/>
    <n v="5"/>
    <n v="7000"/>
    <n v="0.1"/>
    <n v="31500"/>
    <n v="24000"/>
    <n v="7500"/>
    <x v="1"/>
    <x v="0"/>
    <x v="7"/>
    <b v="1"/>
  </r>
  <r>
    <s v="ORD0487"/>
    <x v="58"/>
    <s v="C013"/>
    <x v="15"/>
    <x v="2"/>
    <x v="1"/>
    <x v="2"/>
    <x v="7"/>
    <n v="3"/>
    <n v="12000"/>
    <n v="0"/>
    <n v="36000"/>
    <n v="25500"/>
    <n v="10500"/>
    <x v="1"/>
    <x v="1"/>
    <x v="10"/>
    <b v="1"/>
  </r>
  <r>
    <s v="ORD0488"/>
    <x v="42"/>
    <s v="C018"/>
    <x v="2"/>
    <x v="6"/>
    <x v="2"/>
    <x v="0"/>
    <x v="0"/>
    <n v="3"/>
    <n v="6000"/>
    <n v="0"/>
    <n v="18000"/>
    <n v="12600"/>
    <n v="5400"/>
    <x v="3"/>
    <x v="1"/>
    <x v="2"/>
    <b v="1"/>
  </r>
  <r>
    <s v="ORD0489"/>
    <x v="24"/>
    <s v="C005"/>
    <x v="18"/>
    <x v="8"/>
    <x v="2"/>
    <x v="3"/>
    <x v="4"/>
    <n v="2"/>
    <n v="4500"/>
    <n v="0"/>
    <n v="9000"/>
    <n v="6200"/>
    <n v="2800"/>
    <x v="3"/>
    <x v="1"/>
    <x v="2"/>
    <b v="1"/>
  </r>
  <r>
    <s v="ORD0490"/>
    <x v="215"/>
    <s v="C019"/>
    <x v="13"/>
    <x v="9"/>
    <x v="3"/>
    <x v="3"/>
    <x v="6"/>
    <n v="4"/>
    <n v="1800"/>
    <n v="0"/>
    <n v="7200"/>
    <n v="4400"/>
    <n v="2800"/>
    <x v="0"/>
    <x v="0"/>
    <x v="1"/>
    <b v="1"/>
  </r>
  <r>
    <s v="ORD0491"/>
    <x v="185"/>
    <s v="C005"/>
    <x v="18"/>
    <x v="0"/>
    <x v="0"/>
    <x v="0"/>
    <x v="9"/>
    <n v="1"/>
    <n v="55000"/>
    <n v="0"/>
    <n v="55000"/>
    <n v="45000"/>
    <n v="10000"/>
    <x v="3"/>
    <x v="1"/>
    <x v="3"/>
    <b v="1"/>
  </r>
  <r>
    <s v="ORD0492"/>
    <x v="268"/>
    <s v="C002"/>
    <x v="11"/>
    <x v="8"/>
    <x v="2"/>
    <x v="0"/>
    <x v="10"/>
    <n v="3"/>
    <n v="4500"/>
    <n v="0"/>
    <n v="13500"/>
    <n v="9300"/>
    <n v="4200"/>
    <x v="3"/>
    <x v="1"/>
    <x v="7"/>
    <b v="1"/>
  </r>
  <r>
    <s v="ORD0493"/>
    <x v="262"/>
    <s v="C020"/>
    <x v="10"/>
    <x v="6"/>
    <x v="2"/>
    <x v="0"/>
    <x v="10"/>
    <n v="5"/>
    <n v="6000"/>
    <n v="0.15"/>
    <n v="25500"/>
    <n v="21000"/>
    <n v="4500"/>
    <x v="1"/>
    <x v="0"/>
    <x v="4"/>
    <b v="1"/>
  </r>
  <r>
    <s v="ORD0494"/>
    <x v="182"/>
    <s v="C010"/>
    <x v="16"/>
    <x v="8"/>
    <x v="2"/>
    <x v="2"/>
    <x v="5"/>
    <n v="1"/>
    <n v="4500"/>
    <n v="0.1"/>
    <n v="4050"/>
    <n v="3100"/>
    <n v="950"/>
    <x v="3"/>
    <x v="0"/>
    <x v="8"/>
    <b v="1"/>
  </r>
  <r>
    <s v="ORD0495"/>
    <x v="269"/>
    <s v="C009"/>
    <x v="17"/>
    <x v="7"/>
    <x v="0"/>
    <x v="2"/>
    <x v="7"/>
    <n v="5"/>
    <n v="5000"/>
    <n v="0.05"/>
    <n v="23750"/>
    <n v="17500"/>
    <n v="6250"/>
    <x v="2"/>
    <x v="0"/>
    <x v="6"/>
    <b v="1"/>
  </r>
  <r>
    <s v="ORD0496"/>
    <x v="270"/>
    <s v="C015"/>
    <x v="12"/>
    <x v="5"/>
    <x v="0"/>
    <x v="0"/>
    <x v="0"/>
    <n v="1"/>
    <n v="2500"/>
    <n v="0.15"/>
    <n v="2125"/>
    <n v="1700"/>
    <n v="425"/>
    <x v="0"/>
    <x v="1"/>
    <x v="10"/>
    <b v="1"/>
  </r>
  <r>
    <s v="ORD0497"/>
    <x v="265"/>
    <s v="C014"/>
    <x v="1"/>
    <x v="3"/>
    <x v="1"/>
    <x v="3"/>
    <x v="3"/>
    <n v="5"/>
    <n v="8000"/>
    <n v="0"/>
    <n v="40000"/>
    <n v="28000"/>
    <n v="12000"/>
    <x v="3"/>
    <x v="0"/>
    <x v="6"/>
    <b v="1"/>
  </r>
  <r>
    <s v="ORD0498"/>
    <x v="216"/>
    <s v="C015"/>
    <x v="12"/>
    <x v="8"/>
    <x v="2"/>
    <x v="1"/>
    <x v="1"/>
    <n v="2"/>
    <n v="4500"/>
    <n v="0.05"/>
    <n v="8550"/>
    <n v="6200"/>
    <n v="2350"/>
    <x v="0"/>
    <x v="1"/>
    <x v="11"/>
    <b v="1"/>
  </r>
  <r>
    <s v="ORD0499"/>
    <x v="206"/>
    <s v="C019"/>
    <x v="13"/>
    <x v="13"/>
    <x v="3"/>
    <x v="1"/>
    <x v="11"/>
    <n v="3"/>
    <n v="3000"/>
    <n v="0.05"/>
    <n v="8550"/>
    <n v="5700"/>
    <n v="2850"/>
    <x v="2"/>
    <x v="0"/>
    <x v="8"/>
    <b v="1"/>
  </r>
  <r>
    <s v="ORD0500"/>
    <x v="271"/>
    <s v="C003"/>
    <x v="14"/>
    <x v="4"/>
    <x v="2"/>
    <x v="0"/>
    <x v="9"/>
    <n v="5"/>
    <n v="3500"/>
    <n v="0.15"/>
    <n v="14875"/>
    <n v="12000"/>
    <n v="2875"/>
    <x v="1"/>
    <x v="0"/>
    <x v="8"/>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6D8DB1-8585-4EF0-A269-A87C4B6B19AC}"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8:J59"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axis="axisRow" showAll="0" measureFilter="1">
      <items count="21">
        <item x="15"/>
        <item x="6"/>
        <item x="14"/>
        <item x="10"/>
        <item x="4"/>
        <item x="2"/>
        <item x="18"/>
        <item x="5"/>
        <item x="1"/>
        <item x="8"/>
        <item x="3"/>
        <item x="16"/>
        <item x="11"/>
        <item x="7"/>
        <item x="17"/>
        <item x="13"/>
        <item x="0"/>
        <item x="12"/>
        <item x="9"/>
        <item x="19"/>
        <item t="default"/>
      </items>
    </pivotField>
    <pivotField showAll="0"/>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showAll="0"/>
    <pivotField showAll="0"/>
    <pivotField dataField="1" showAll="0"/>
    <pivotField showAll="0">
      <items count="5">
        <item x="1"/>
        <item x="2"/>
        <item x="3"/>
        <item x="0"/>
        <item t="default"/>
      </items>
    </pivotField>
    <pivotField showAll="0">
      <items count="3">
        <item x="1"/>
        <item x="0"/>
        <item t="default"/>
      </items>
    </pivotField>
    <pivotField showAll="0"/>
    <pivotField showAll="0"/>
  </pivotFields>
  <rowFields count="1">
    <field x="3"/>
  </rowFields>
  <rowItems count="11">
    <i>
      <x/>
    </i>
    <i>
      <x v="4"/>
    </i>
    <i>
      <x v="5"/>
    </i>
    <i>
      <x v="6"/>
    </i>
    <i>
      <x v="8"/>
    </i>
    <i>
      <x v="12"/>
    </i>
    <i>
      <x v="14"/>
    </i>
    <i>
      <x v="16"/>
    </i>
    <i>
      <x v="17"/>
    </i>
    <i>
      <x v="18"/>
    </i>
    <i t="grand">
      <x/>
    </i>
  </rowItems>
  <colItems count="1">
    <i/>
  </colItems>
  <dataFields count="1">
    <dataField name="Sum of Profit" fld="13" baseField="0" baseItem="0"/>
  </dataFields>
  <formats count="1">
    <format dxfId="0">
      <pivotArea grandRow="1"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64F22F-5FDB-4EC8-8640-56D8395EB57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B64:C70"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showAll="0"/>
    <pivotField showAll="0"/>
    <pivotField dataField="1" showAll="0"/>
    <pivotField showAll="0">
      <items count="5">
        <item x="1"/>
        <item x="2"/>
        <item x="3"/>
        <item x="0"/>
        <item t="default"/>
      </items>
    </pivotField>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Sum of Profit" fld="13" baseField="0" baseItem="0"/>
  </dataFields>
  <formats count="2">
    <format dxfId="2">
      <pivotArea grandRow="1" outline="0" collapsedLevelsAreSubtotals="1" fieldPosition="0"/>
    </format>
    <format dxfId="1">
      <pivotArea collapsedLevelsAreSubtotals="1" fieldPosition="0">
        <references count="1">
          <reference field="5" count="0"/>
        </references>
      </pivotArea>
    </format>
  </formats>
  <chartFormats count="6">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5" count="1" selected="0">
            <x v="0"/>
          </reference>
        </references>
      </pivotArea>
    </chartFormat>
    <chartFormat chart="27" format="3">
      <pivotArea type="data" outline="0" fieldPosition="0">
        <references count="2">
          <reference field="4294967294" count="1" selected="0">
            <x v="0"/>
          </reference>
          <reference field="5" count="1" selected="0">
            <x v="1"/>
          </reference>
        </references>
      </pivotArea>
    </chartFormat>
    <chartFormat chart="27" format="4">
      <pivotArea type="data" outline="0" fieldPosition="0">
        <references count="2">
          <reference field="4294967294" count="1" selected="0">
            <x v="0"/>
          </reference>
          <reference field="5" count="1" selected="0">
            <x v="2"/>
          </reference>
        </references>
      </pivotArea>
    </chartFormat>
    <chartFormat chart="27" format="5">
      <pivotArea type="data" outline="0" fieldPosition="0">
        <references count="2">
          <reference field="4294967294" count="1" selected="0">
            <x v="0"/>
          </reference>
          <reference field="5" count="1" selected="0">
            <x v="3"/>
          </reference>
        </references>
      </pivotArea>
    </chartFormat>
    <chartFormat chart="27" format="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DF0B31-4115-491C-BCB5-EF9AA942037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56:C59"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axis="axisRow" showAll="0">
      <items count="3">
        <item x="1"/>
        <item x="0"/>
        <item t="default"/>
      </items>
    </pivotField>
    <pivotField showAll="0"/>
    <pivotField showAll="0"/>
  </pivotFields>
  <rowFields count="1">
    <field x="15"/>
  </rowFields>
  <rowItems count="3">
    <i>
      <x/>
    </i>
    <i>
      <x v="1"/>
    </i>
    <i t="grand">
      <x/>
    </i>
  </rowItems>
  <colItems count="1">
    <i/>
  </colItems>
  <dataFields count="1">
    <dataField name="Sum of Sales" fld="11" baseField="0" baseItem="0"/>
  </dataFields>
  <formats count="3">
    <format dxfId="5">
      <pivotArea dataOnly="0" labelOnly="1" fieldPosition="0">
        <references count="1">
          <reference field="15" count="1">
            <x v="0"/>
          </reference>
        </references>
      </pivotArea>
    </format>
    <format dxfId="4">
      <pivotArea collapsedLevelsAreSubtotals="1" fieldPosition="0">
        <references count="1">
          <reference field="15" count="0"/>
        </references>
      </pivotArea>
    </format>
    <format dxfId="3">
      <pivotArea grandRow="1"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0CFD0F-1D23-4229-B35A-DF7790C168B9}"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75:J81"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Average of Sales" fld="11" subtotal="average" baseField="5" baseItem="0"/>
  </dataFields>
  <formats count="2">
    <format dxfId="7">
      <pivotArea grandRow="1" outline="0" collapsedLevelsAreSubtotals="1" fieldPosition="0"/>
    </format>
    <format dxfId="6">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73CDBC-2783-4286-8D85-2F2A2A67069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13:C18"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showAll="0"/>
    <pivotField axis="axisRow"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6"/>
  </rowFields>
  <rowItems count="5">
    <i>
      <x/>
    </i>
    <i>
      <x v="1"/>
    </i>
    <i>
      <x v="2"/>
    </i>
    <i>
      <x v="3"/>
    </i>
    <i t="grand">
      <x/>
    </i>
  </rowItems>
  <colItems count="1">
    <i/>
  </colItems>
  <dataFields count="1">
    <dataField name="Sum of Sales" fld="11" baseField="0" baseItem="0"/>
  </dataFields>
  <formats count="2">
    <format dxfId="9">
      <pivotArea collapsedLevelsAreSubtotals="1" fieldPosition="0">
        <references count="1">
          <reference field="6" count="0"/>
        </references>
      </pivotArea>
    </format>
    <format dxfId="8">
      <pivotArea grandRow="1" outline="0" collapsedLevelsAreSubtotals="1" fieldPosition="0"/>
    </format>
  </format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65848-DB30-4EDF-9300-EBED586C7C0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J17"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showAll="0"/>
    <pivotField showAll="0">
      <items count="5">
        <item x="2"/>
        <item x="0"/>
        <item x="1"/>
        <item x="3"/>
        <item t="default"/>
      </items>
    </pivotField>
    <pivotField axis="axisRow"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fld="11" baseField="0" baseItem="0"/>
  </dataFields>
  <formats count="2">
    <format dxfId="11">
      <pivotArea collapsedLevelsAreSubtotals="1" fieldPosition="0">
        <references count="1">
          <reference field="7" count="0"/>
        </references>
      </pivotArea>
    </format>
    <format dxfId="1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CBF5CE-6B12-4C33-B824-C55167D3F4E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116:C121"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showAll="0"/>
    <pivotField showAll="0"/>
    <pivotField dataField="1" showAll="0"/>
    <pivotField axis="axisRow" showAll="0">
      <items count="5">
        <item x="1"/>
        <item x="2"/>
        <item x="3"/>
        <item x="0"/>
        <item t="default"/>
      </items>
    </pivotField>
    <pivotField showAll="0">
      <items count="3">
        <item x="1"/>
        <item x="0"/>
        <item t="default"/>
      </items>
    </pivotField>
    <pivotField showAll="0"/>
    <pivotField showAll="0"/>
  </pivotFields>
  <rowFields count="1">
    <field x="14"/>
  </rowFields>
  <rowItems count="5">
    <i>
      <x/>
    </i>
    <i>
      <x v="1"/>
    </i>
    <i>
      <x v="2"/>
    </i>
    <i>
      <x v="3"/>
    </i>
    <i t="grand">
      <x/>
    </i>
  </rowItems>
  <colItems count="1">
    <i/>
  </colItems>
  <dataFields count="1">
    <dataField name="Sum of Profit" fld="13" baseField="0" baseItem="0"/>
  </dataFields>
  <formats count="2">
    <format dxfId="13">
      <pivotArea collapsedLevelsAreSubtotals="1" fieldPosition="0">
        <references count="1">
          <reference field="14" count="0"/>
        </references>
      </pivotArea>
    </format>
    <format dxfId="12">
      <pivotArea grandRow="1" outline="0" collapsedLevelsAreSubtotals="1" fieldPosition="0"/>
    </format>
  </format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28AE04-B590-4E72-9A91-6F9CC41CD653}"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4:C10"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Sum of Sales" fld="11" baseField="0" baseItem="0"/>
  </dataFields>
  <formats count="1">
    <format dxfId="1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E7466C-70AE-4A62-BEAF-D013EC0AC09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6:C101"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axis="axisRow" showAll="0">
      <items count="15">
        <item x="6"/>
        <item x="10"/>
        <item x="1"/>
        <item x="8"/>
        <item x="2"/>
        <item x="5"/>
        <item x="9"/>
        <item x="0"/>
        <item x="4"/>
        <item x="3"/>
        <item x="13"/>
        <item x="7"/>
        <item x="12"/>
        <item x="11"/>
        <item t="default"/>
      </items>
    </pivotField>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Sum of Sales" fld="11" baseField="0" baseItem="0"/>
  </dataFields>
  <formats count="1">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8E31BB-92A2-4611-A3B1-2A4DF5681D34}"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86:J92"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showAll="0"/>
    <pivotField showAll="0"/>
    <pivotField dataField="1" showAll="0"/>
    <pivotField showAll="0">
      <items count="5">
        <item x="1"/>
        <item x="2"/>
        <item x="3"/>
        <item x="0"/>
        <item t="default"/>
      </items>
    </pivotField>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Average of Profit" fld="13" subtotal="average" baseField="5" baseItem="0"/>
  </dataFields>
  <formats count="1">
    <format dxfId="16">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569239-9E43-4706-B6A8-C595082334D8}"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97:J122"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axis="axisRow"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2">
    <field x="6"/>
    <field x="5"/>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fld="11" baseField="0" baseItem="0"/>
  </dataFields>
  <formats count="5">
    <format dxfId="21">
      <pivotArea collapsedLevelsAreSubtotals="1" fieldPosition="0">
        <references count="1">
          <reference field="6" count="1">
            <x v="3"/>
          </reference>
        </references>
      </pivotArea>
    </format>
    <format dxfId="20">
      <pivotArea collapsedLevelsAreSubtotals="1" fieldPosition="0">
        <references count="1">
          <reference field="6" count="1">
            <x v="2"/>
          </reference>
        </references>
      </pivotArea>
    </format>
    <format dxfId="19">
      <pivotArea collapsedLevelsAreSubtotals="1" fieldPosition="0">
        <references count="1">
          <reference field="6" count="1">
            <x v="1"/>
          </reference>
        </references>
      </pivotArea>
    </format>
    <format dxfId="18">
      <pivotArea collapsedLevelsAreSubtotals="1" fieldPosition="0">
        <references count="1">
          <reference field="6" count="1">
            <x v="0"/>
          </reference>
        </references>
      </pivotArea>
    </format>
    <format dxfId="1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38608-257D-406E-8C94-35F2F8D239B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1:C23"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axis="axisRow" showAll="0" measureFilter="1">
      <items count="15">
        <item x="6"/>
        <item x="10"/>
        <item x="1"/>
        <item x="8"/>
        <item x="2"/>
        <item x="5"/>
        <item x="9"/>
        <item x="0"/>
        <item x="4"/>
        <item x="3"/>
        <item x="13"/>
        <item x="7"/>
        <item x="12"/>
        <item x="11"/>
        <item t="default"/>
      </items>
    </pivotField>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4"/>
  </rowFields>
  <rowItems count="2">
    <i>
      <x v="7"/>
    </i>
    <i t="grand">
      <x/>
    </i>
  </rowItems>
  <colItems count="1">
    <i/>
  </colItems>
  <dataFields count="1">
    <dataField name="Sum of Sales" fld="11" baseField="0" baseItem="0"/>
  </dataFields>
  <formats count="1">
    <format dxfId="22">
      <pivotArea grandRow="1" outline="0" collapsedLevelsAreSubtotals="1" fieldPosition="0"/>
    </format>
  </formats>
  <pivotTableStyleInfo name="PivotStyleLight16" showRowHeaders="1" showColHeaders="1" showRowStripes="0" showColStripes="0" showLastColumn="1"/>
  <filters count="1">
    <filter fld="4"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BB62EE-FDE5-473C-9854-82D83495E35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27:C33"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axis="axisRow" showAll="0" measureFilter="1">
      <items count="15">
        <item x="6"/>
        <item x="10"/>
        <item x="1"/>
        <item x="8"/>
        <item x="2"/>
        <item x="5"/>
        <item x="9"/>
        <item x="0"/>
        <item x="4"/>
        <item x="3"/>
        <item x="13"/>
        <item x="7"/>
        <item x="12"/>
        <item x="11"/>
        <item t="default"/>
      </items>
    </pivotField>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4"/>
  </rowFields>
  <rowItems count="6">
    <i>
      <x v="2"/>
    </i>
    <i>
      <x v="4"/>
    </i>
    <i>
      <x v="7"/>
    </i>
    <i>
      <x v="9"/>
    </i>
    <i>
      <x v="12"/>
    </i>
    <i t="grand">
      <x/>
    </i>
  </rowItems>
  <colItems count="1">
    <i/>
  </colItems>
  <dataFields count="1">
    <dataField name="Sum of Sales" fld="11" baseField="0" baseItem="0"/>
  </dataFields>
  <formats count="2">
    <format dxfId="24">
      <pivotArea grandRow="1" outline="0" collapsedLevelsAreSubtotals="1" fieldPosition="0"/>
    </format>
    <format dxfId="23">
      <pivotArea collapsedLevelsAreSubtotals="1" fieldPosition="0">
        <references count="1">
          <reference field="4" count="5">
            <x v="2"/>
            <x v="4"/>
            <x v="7"/>
            <x v="9"/>
            <x v="12"/>
          </reference>
        </references>
      </pivotArea>
    </format>
  </format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2"/>
          </reference>
        </references>
      </pivotArea>
    </chartFormat>
    <chartFormat chart="4" format="3">
      <pivotArea type="data" outline="0" fieldPosition="0">
        <references count="2">
          <reference field="4294967294" count="1" selected="0">
            <x v="0"/>
          </reference>
          <reference field="4" count="1" selected="0">
            <x v="4"/>
          </reference>
        </references>
      </pivotArea>
    </chartFormat>
    <chartFormat chart="4" format="4">
      <pivotArea type="data" outline="0" fieldPosition="0">
        <references count="2">
          <reference field="4294967294" count="1" selected="0">
            <x v="0"/>
          </reference>
          <reference field="4" count="1" selected="0">
            <x v="7"/>
          </reference>
        </references>
      </pivotArea>
    </chartFormat>
    <chartFormat chart="4" format="5">
      <pivotArea type="data" outline="0" fieldPosition="0">
        <references count="2">
          <reference field="4294967294" count="1" selected="0">
            <x v="0"/>
          </reference>
          <reference field="4" count="1" selected="0">
            <x v="9"/>
          </reference>
        </references>
      </pivotArea>
    </chartFormat>
    <chartFormat chart="4" format="6">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0F739D-3F0C-42A3-8834-728C5E6030D7}"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64:J70"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dataField="1" showAll="0"/>
    <pivotField showAll="0"/>
    <pivotField showAll="0"/>
    <pivotField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Sum of Quantity" fld="8"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F7B6F7-F546-4A2C-B3B0-F19F442E21EF}"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5:N48"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axis="axisRow" showAll="0">
      <items count="3">
        <item x="1"/>
        <item x="0"/>
        <item t="default"/>
      </items>
    </pivotField>
    <pivotField showAll="0"/>
    <pivotField showAll="0"/>
  </pivotFields>
  <rowFields count="2">
    <field x="15"/>
    <field x="5"/>
  </rowFields>
  <rowItems count="13">
    <i>
      <x/>
    </i>
    <i r="1">
      <x/>
    </i>
    <i r="1">
      <x v="1"/>
    </i>
    <i r="1">
      <x v="2"/>
    </i>
    <i r="1">
      <x v="3"/>
    </i>
    <i r="1">
      <x v="4"/>
    </i>
    <i>
      <x v="1"/>
    </i>
    <i r="1">
      <x/>
    </i>
    <i r="1">
      <x v="1"/>
    </i>
    <i r="1">
      <x v="2"/>
    </i>
    <i r="1">
      <x v="3"/>
    </i>
    <i r="1">
      <x v="4"/>
    </i>
    <i t="grand">
      <x/>
    </i>
  </rowItems>
  <colItems count="1">
    <i/>
  </colItems>
  <dataFields count="1">
    <dataField name="Sum of Sales" fld="11" baseField="0" baseItem="0"/>
  </dataFields>
  <formats count="3">
    <format dxfId="27">
      <pivotArea grandRow="1" outline="0" collapsedLevelsAreSubtotals="1" fieldPosition="0"/>
    </format>
    <format dxfId="26">
      <pivotArea collapsedLevelsAreSubtotals="1" fieldPosition="0">
        <references count="1">
          <reference field="15" count="1">
            <x v="1"/>
          </reference>
        </references>
      </pivotArea>
    </format>
    <format dxfId="25">
      <pivotArea collapsedLevelsAreSubtotals="1" fieldPosition="0">
        <references count="1">
          <reference field="1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69A6EB-78A3-4416-B39D-04CA5A7671A5}"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5:N30"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axis="axisRow"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showAll="0"/>
    <pivotField showAll="0"/>
    <pivotField dataField="1" showAll="0"/>
    <pivotField showAll="0">
      <items count="5">
        <item x="1"/>
        <item x="2"/>
        <item x="3"/>
        <item x="0"/>
        <item t="default"/>
      </items>
    </pivotField>
    <pivotField showAll="0">
      <items count="3">
        <item x="1"/>
        <item x="0"/>
        <item t="default"/>
      </items>
    </pivotField>
    <pivotField showAll="0"/>
    <pivotField showAll="0"/>
  </pivotFields>
  <rowFields count="2">
    <field x="6"/>
    <field x="5"/>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Profit" fld="13" baseField="0" baseItem="0"/>
  </dataFields>
  <formats count="5">
    <format dxfId="32">
      <pivotArea grandRow="1" outline="0" collapsedLevelsAreSubtotals="1" fieldPosition="0"/>
    </format>
    <format dxfId="31">
      <pivotArea collapsedLevelsAreSubtotals="1" fieldPosition="0">
        <references count="1">
          <reference field="6" count="1">
            <x v="0"/>
          </reference>
        </references>
      </pivotArea>
    </format>
    <format dxfId="30">
      <pivotArea collapsedLevelsAreSubtotals="1" fieldPosition="0">
        <references count="1">
          <reference field="6" count="1">
            <x v="1"/>
          </reference>
        </references>
      </pivotArea>
    </format>
    <format dxfId="29">
      <pivotArea collapsedLevelsAreSubtotals="1" fieldPosition="0">
        <references count="1">
          <reference field="6" count="1">
            <x v="2"/>
          </reference>
        </references>
      </pivotArea>
    </format>
    <format dxfId="28">
      <pivotArea collapsedLevelsAreSubtotals="1" fieldPosition="0">
        <references count="1">
          <reference field="6"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AFBC34C-9FD4-4024-B66D-4ADC738CD60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75:C81"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axis="axisRow" showAll="0">
      <items count="6">
        <item x="4"/>
        <item x="0"/>
        <item x="3"/>
        <item x="1"/>
        <item x="2"/>
        <item t="default"/>
      </items>
    </pivotField>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5"/>
  </rowFields>
  <rowItems count="6">
    <i>
      <x/>
    </i>
    <i>
      <x v="1"/>
    </i>
    <i>
      <x v="2"/>
    </i>
    <i>
      <x v="3"/>
    </i>
    <i>
      <x v="4"/>
    </i>
    <i t="grand">
      <x/>
    </i>
  </rowItems>
  <colItems count="1">
    <i/>
  </colItems>
  <dataFields count="1">
    <dataField name="Sum of Sales" fld="11" baseField="0" baseItem="0"/>
  </dataFields>
  <formats count="2">
    <format dxfId="34">
      <pivotArea collapsedLevelsAreSubtotals="1" fieldPosition="0">
        <references count="1">
          <reference field="5" count="0"/>
        </references>
      </pivotArea>
    </format>
    <format dxfId="33">
      <pivotArea grandRow="1"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B4D1CB5-C7AC-4481-B44B-EC89EB04E98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06:C111"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axis="axisRow" showAll="0">
      <items count="5">
        <item x="1"/>
        <item x="2"/>
        <item x="3"/>
        <item x="0"/>
        <item t="default"/>
      </items>
    </pivotField>
    <pivotField showAll="0">
      <items count="3">
        <item x="1"/>
        <item x="0"/>
        <item t="default"/>
      </items>
    </pivotField>
    <pivotField showAll="0"/>
    <pivotField showAll="0"/>
  </pivotFields>
  <rowFields count="1">
    <field x="14"/>
  </rowFields>
  <rowItems count="5">
    <i>
      <x/>
    </i>
    <i>
      <x v="1"/>
    </i>
    <i>
      <x v="2"/>
    </i>
    <i>
      <x v="3"/>
    </i>
    <i t="grand">
      <x/>
    </i>
  </rowItems>
  <colItems count="1">
    <i/>
  </colItems>
  <dataFields count="1">
    <dataField name="Sum of Sales" fld="11" baseField="0" baseItem="0"/>
  </dataFields>
  <formats count="1">
    <format dxfId="3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83DCDEF-BDF4-42FA-97EC-7D767AEB0A6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2:J43"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axis="axisRow" showAll="0">
      <items count="21">
        <item x="15"/>
        <item x="6"/>
        <item x="14"/>
        <item x="10"/>
        <item x="4"/>
        <item x="2"/>
        <item x="18"/>
        <item x="5"/>
        <item x="1"/>
        <item x="8"/>
        <item x="3"/>
        <item x="16"/>
        <item x="11"/>
        <item x="7"/>
        <item x="17"/>
        <item x="13"/>
        <item x="0"/>
        <item x="12"/>
        <item x="9"/>
        <item x="19"/>
        <item t="default"/>
      </items>
    </pivotField>
    <pivotField showAll="0"/>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11" baseField="0" baseItem="0"/>
  </dataFields>
  <formats count="1">
    <format dxfId="3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73C24BD-709C-4DB9-B2AF-B9F5F93D038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38:C51" firstHeaderRow="1" firstDataRow="1" firstDataCol="1"/>
  <pivotFields count="18">
    <pivotField showAll="0"/>
    <pivotField showAll="0">
      <items count="273">
        <item x="242"/>
        <item x="184"/>
        <item x="260"/>
        <item x="121"/>
        <item x="222"/>
        <item x="269"/>
        <item x="102"/>
        <item x="126"/>
        <item x="243"/>
        <item x="241"/>
        <item x="41"/>
        <item x="151"/>
        <item x="70"/>
        <item x="142"/>
        <item x="265"/>
        <item x="173"/>
        <item x="47"/>
        <item x="124"/>
        <item x="165"/>
        <item x="36"/>
        <item x="9"/>
        <item x="29"/>
        <item x="21"/>
        <item x="31"/>
        <item x="229"/>
        <item x="66"/>
        <item x="5"/>
        <item x="134"/>
        <item x="140"/>
        <item x="17"/>
        <item x="224"/>
        <item x="259"/>
        <item x="101"/>
        <item x="72"/>
        <item x="23"/>
        <item x="245"/>
        <item x="196"/>
        <item x="175"/>
        <item x="262"/>
        <item x="266"/>
        <item x="55"/>
        <item x="103"/>
        <item x="109"/>
        <item x="127"/>
        <item x="45"/>
        <item x="186"/>
        <item x="267"/>
        <item x="154"/>
        <item x="114"/>
        <item x="39"/>
        <item x="125"/>
        <item x="176"/>
        <item x="153"/>
        <item x="59"/>
        <item x="11"/>
        <item x="167"/>
        <item x="268"/>
        <item x="53"/>
        <item x="233"/>
        <item x="197"/>
        <item x="160"/>
        <item x="57"/>
        <item x="205"/>
        <item x="83"/>
        <item x="210"/>
        <item x="246"/>
        <item x="238"/>
        <item x="110"/>
        <item x="213"/>
        <item x="62"/>
        <item x="247"/>
        <item x="164"/>
        <item x="137"/>
        <item x="99"/>
        <item x="174"/>
        <item x="219"/>
        <item x="194"/>
        <item x="248"/>
        <item x="22"/>
        <item x="74"/>
        <item x="228"/>
        <item x="234"/>
        <item x="221"/>
        <item x="162"/>
        <item x="193"/>
        <item x="69"/>
        <item x="133"/>
        <item x="78"/>
        <item x="73"/>
        <item x="255"/>
        <item x="198"/>
        <item x="236"/>
        <item x="28"/>
        <item x="240"/>
        <item x="239"/>
        <item x="35"/>
        <item x="58"/>
        <item x="250"/>
        <item x="44"/>
        <item x="214"/>
        <item x="139"/>
        <item x="100"/>
        <item x="143"/>
        <item x="163"/>
        <item x="89"/>
        <item x="270"/>
        <item x="218"/>
        <item x="79"/>
        <item x="191"/>
        <item x="189"/>
        <item x="43"/>
        <item x="208"/>
        <item x="135"/>
        <item x="65"/>
        <item x="46"/>
        <item x="204"/>
        <item x="161"/>
        <item x="86"/>
        <item x="84"/>
        <item x="123"/>
        <item x="216"/>
        <item x="227"/>
        <item x="129"/>
        <item x="71"/>
        <item x="257"/>
        <item x="146"/>
        <item x="67"/>
        <item x="141"/>
        <item x="63"/>
        <item x="119"/>
        <item x="40"/>
        <item x="149"/>
        <item x="263"/>
        <item x="75"/>
        <item x="12"/>
        <item x="232"/>
        <item x="217"/>
        <item x="225"/>
        <item x="4"/>
        <item x="185"/>
        <item x="179"/>
        <item x="254"/>
        <item x="209"/>
        <item x="61"/>
        <item x="230"/>
        <item x="77"/>
        <item x="49"/>
        <item x="50"/>
        <item x="60"/>
        <item x="80"/>
        <item x="251"/>
        <item x="252"/>
        <item x="264"/>
        <item x="82"/>
        <item x="117"/>
        <item x="97"/>
        <item x="15"/>
        <item x="128"/>
        <item x="19"/>
        <item x="93"/>
        <item x="26"/>
        <item x="91"/>
        <item x="111"/>
        <item x="116"/>
        <item x="7"/>
        <item x="56"/>
        <item x="148"/>
        <item x="187"/>
        <item x="98"/>
        <item x="192"/>
        <item x="51"/>
        <item x="155"/>
        <item x="145"/>
        <item x="92"/>
        <item x="169"/>
        <item x="76"/>
        <item x="27"/>
        <item x="226"/>
        <item x="16"/>
        <item x="206"/>
        <item x="104"/>
        <item x="202"/>
        <item x="132"/>
        <item x="201"/>
        <item x="115"/>
        <item x="90"/>
        <item x="136"/>
        <item x="182"/>
        <item x="52"/>
        <item x="220"/>
        <item x="157"/>
        <item x="271"/>
        <item x="68"/>
        <item x="171"/>
        <item x="156"/>
        <item x="18"/>
        <item x="122"/>
        <item x="200"/>
        <item x="8"/>
        <item x="25"/>
        <item x="106"/>
        <item x="199"/>
        <item x="87"/>
        <item x="88"/>
        <item x="14"/>
        <item x="190"/>
        <item x="256"/>
        <item x="183"/>
        <item x="108"/>
        <item x="10"/>
        <item x="166"/>
        <item x="150"/>
        <item x="85"/>
        <item x="131"/>
        <item x="215"/>
        <item x="30"/>
        <item x="105"/>
        <item x="20"/>
        <item x="1"/>
        <item x="158"/>
        <item x="249"/>
        <item x="170"/>
        <item x="188"/>
        <item x="244"/>
        <item x="120"/>
        <item x="172"/>
        <item x="168"/>
        <item x="181"/>
        <item x="138"/>
        <item x="32"/>
        <item x="33"/>
        <item x="48"/>
        <item x="211"/>
        <item x="13"/>
        <item x="54"/>
        <item x="95"/>
        <item x="258"/>
        <item x="37"/>
        <item x="0"/>
        <item x="159"/>
        <item x="147"/>
        <item x="237"/>
        <item x="177"/>
        <item x="2"/>
        <item x="212"/>
        <item x="180"/>
        <item x="130"/>
        <item x="235"/>
        <item x="112"/>
        <item x="6"/>
        <item x="107"/>
        <item x="144"/>
        <item x="34"/>
        <item x="178"/>
        <item x="118"/>
        <item x="24"/>
        <item x="94"/>
        <item x="261"/>
        <item x="253"/>
        <item x="223"/>
        <item x="113"/>
        <item x="38"/>
        <item x="203"/>
        <item x="96"/>
        <item x="195"/>
        <item x="3"/>
        <item x="64"/>
        <item x="42"/>
        <item x="152"/>
        <item x="81"/>
        <item x="231"/>
        <item x="207"/>
        <item t="default"/>
      </items>
    </pivotField>
    <pivotField showAll="0"/>
    <pivotField showAll="0"/>
    <pivotField showAll="0"/>
    <pivotField showAll="0"/>
    <pivotField showAll="0">
      <items count="5">
        <item x="2"/>
        <item x="0"/>
        <item x="1"/>
        <item x="3"/>
        <item t="default"/>
      </items>
    </pivotField>
    <pivotField showAll="0">
      <items count="13">
        <item x="4"/>
        <item x="1"/>
        <item x="5"/>
        <item x="8"/>
        <item x="0"/>
        <item x="11"/>
        <item x="9"/>
        <item x="7"/>
        <item x="10"/>
        <item x="3"/>
        <item x="2"/>
        <item x="6"/>
        <item t="default"/>
      </items>
    </pivotField>
    <pivotField showAll="0"/>
    <pivotField showAll="0"/>
    <pivotField showAll="0"/>
    <pivotField dataField="1" showAll="0"/>
    <pivotField showAll="0"/>
    <pivotField showAll="0"/>
    <pivotField showAll="0">
      <items count="5">
        <item x="1"/>
        <item x="2"/>
        <item x="3"/>
        <item x="0"/>
        <item t="default"/>
      </items>
    </pivotField>
    <pivotField showAll="0">
      <items count="3">
        <item x="1"/>
        <item x="0"/>
        <item t="default"/>
      </items>
    </pivotField>
    <pivotField axis="axisRow" showAll="0">
      <items count="13">
        <item x="6"/>
        <item x="4"/>
        <item x="7"/>
        <item x="9"/>
        <item x="10"/>
        <item x="11"/>
        <item x="3"/>
        <item x="5"/>
        <item x="8"/>
        <item x="1"/>
        <item x="0"/>
        <item x="2"/>
        <item t="default"/>
      </items>
    </pivotField>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Sales" fld="11" baseField="0" baseItem="0"/>
  </dataFields>
  <formats count="2">
    <format dxfId="38">
      <pivotArea collapsedLevelsAreSubtotals="1" fieldPosition="0">
        <references count="1">
          <reference field="16" count="0"/>
        </references>
      </pivotArea>
    </format>
    <format dxfId="37">
      <pivotArea grandRow="1" outline="0" collapsedLevelsAreSubtotals="1" fieldPosition="0"/>
    </format>
  </format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E0F80AC-473B-41CB-8E32-9C4629E0BEE0}" sourceName="Sales_Channel">
  <pivotTables>
    <pivotTable tabId="2" name="PivotTable4"/>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5"/>
    <pivotTable tabId="2" name="PivotTable6"/>
    <pivotTable tabId="2" name="PivotTable7"/>
    <pivotTable tabId="2" name="PivotTable8"/>
    <pivotTable tabId="2" name="PivotTable9"/>
    <pivotTable tabId="2" name="PivotTable1"/>
  </pivotTables>
  <data>
    <tabular pivotCacheId="16679277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2ACC08-0E4B-4522-9C68-9F680EC44560}" sourceName="Payment_Method">
  <pivotTables>
    <pivotTable tabId="2" name="PivotTable4"/>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5"/>
    <pivotTable tabId="2" name="PivotTable6"/>
    <pivotTable tabId="2" name="PivotTable7"/>
    <pivotTable tabId="2" name="PivotTable8"/>
    <pivotTable tabId="2" name="PivotTable9"/>
    <pivotTable tabId="2" name="PivotTable1"/>
  </pivotTables>
  <data>
    <tabular pivotCacheId="166792778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A98513-5C19-4642-9FBB-15C868958DEA}" sourceName="Region">
  <pivotTables>
    <pivotTable tabId="2" name="PivotTable4"/>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5"/>
    <pivotTable tabId="2" name="PivotTable6"/>
    <pivotTable tabId="2" name="PivotTable7"/>
    <pivotTable tabId="2" name="PivotTable8"/>
    <pivotTable tabId="2" name="PivotTable9"/>
    <pivotTable tabId="2" name="PivotTable1"/>
  </pivotTables>
  <data>
    <tabular pivotCacheId="1667927780">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85190B7-4A31-444E-BD44-33F2726DFCA1}" sourceName="City">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s>
  <data>
    <tabular pivotCacheId="1667927780">
      <items count="12">
        <i x="4" s="1"/>
        <i x="1" s="1"/>
        <i x="5" s="1"/>
        <i x="8" s="1"/>
        <i x="0" s="1"/>
        <i x="11" s="1"/>
        <i x="9" s="1"/>
        <i x="7" s="1"/>
        <i x="10" s="1"/>
        <i x="3"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394CF2AE-A8F4-4AAF-9155-C12C3E3F88B7}" cache="Slicer_Sales_Channel" caption="Sales_Channel" style="SlicerStyleDark2" rowHeight="234950"/>
  <slicer name="Payment_Method" xr10:uid="{420FA271-FDFF-4289-9805-C1A23236E748}" cache="Slicer_Payment_Method" caption="Payment_Method" style="SlicerStyleDark2" rowHeight="234950"/>
  <slicer name="Region" xr10:uid="{28F048AC-5276-4CFF-9307-3467CBCD446E}" cache="Slicer_Region" caption="Region" style="SlicerStyleDark2" rowHeight="234950"/>
  <slicer name="City" xr10:uid="{052680CA-0773-4E38-B50E-84988541F8FC}" cache="Slicer_City" caption="City"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0C514-5459-44B1-AAE4-34510CD38424}" name="Table1" displayName="Table1" ref="A1:R501" totalsRowShown="0" headerRowDxfId="44" headerRowBorderDxfId="43" tableBorderDxfId="42">
  <autoFilter ref="A1:R501" xr:uid="{00000000-0009-0000-0000-000000000000}"/>
  <tableColumns count="18">
    <tableColumn id="1" xr3:uid="{E3C71F8D-58E9-4E01-964B-C74CFCC31CF9}" name="Order_ID"/>
    <tableColumn id="2" xr3:uid="{63864536-7E51-4899-B03F-FCC046473612}" name="Order_Date" dataDxfId="41"/>
    <tableColumn id="3" xr3:uid="{C824C619-2D63-4A63-8620-4774017F22BC}" name="Customer_ID"/>
    <tableColumn id="4" xr3:uid="{5CCAC085-2D57-4B1B-8EE3-127E7E44ED40}" name="Customer_Name"/>
    <tableColumn id="5" xr3:uid="{85A08CC3-795E-4E46-BD3C-D8B82347C507}" name="Product"/>
    <tableColumn id="6" xr3:uid="{DB7C4464-C730-426B-BB10-338D3DC0596D}" name="Category"/>
    <tableColumn id="7" xr3:uid="{784F6027-66C3-4B16-834D-C6315E16AE31}" name="Region"/>
    <tableColumn id="8" xr3:uid="{296349C6-56FD-4C9F-85F7-7354B36E158E}" name="City"/>
    <tableColumn id="9" xr3:uid="{62397B69-BE82-4E4A-9130-40BB44F8005D}" name="Quantity"/>
    <tableColumn id="10" xr3:uid="{AD5DAA4D-D679-48EC-8635-C784810383E7}" name="Unit_Price"/>
    <tableColumn id="11" xr3:uid="{B01F3ECA-4E2C-4D55-86C1-EBF3D9A14849}" name="Discount"/>
    <tableColumn id="12" xr3:uid="{25CAF998-A09E-41A6-89E1-D31055826B64}" name="Sales"/>
    <tableColumn id="13" xr3:uid="{865B52DA-F037-4C9C-B665-5F6D5C40BFE9}" name="Cost"/>
    <tableColumn id="14" xr3:uid="{36481F50-3134-473D-9492-99A707617BA6}" name="Profit"/>
    <tableColumn id="15" xr3:uid="{7E4B099E-722C-46EA-A94E-C7FF5BD5646E}" name="Payment_Method"/>
    <tableColumn id="16" xr3:uid="{3150F47C-8A6B-4C65-87D0-E1D12BAF5073}" name="Sales_Channel"/>
    <tableColumn id="17" xr3:uid="{82F3A5B0-8C05-47C2-B59A-6C0291F1F869}" name="Month" dataDxfId="40">
      <calculatedColumnFormula>TEXT(Table1[[#This Row],[Order_Date]],"mmm")</calculatedColumnFormula>
    </tableColumn>
    <tableColumn id="18" xr3:uid="{A6B962D1-421E-403A-9721-1588F715C1DC}" name="Column1" dataDxfId="39">
      <calculatedColumnFormula>ISNUMBER(B2)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09A0F8A-BED3-4728-97AC-3CFF6ACC9CFF}" sourceName="Order_Date">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8"/>
    <pivotTable tabId="2" name="PivotTable9"/>
  </pivotTables>
  <state minimalRefreshVersion="6" lastRefreshVersion="6" pivotCacheId="166792778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4F2911D-3887-413B-A695-0D8E418A738B}" cache="NativeTimeline_Order_Date" caption="Order_Date" level="0" selectionLevel="0" scrollPosition="2025-01-01T00:00:00"/>
  <timeline name="Order_Date 1" xr10:uid="{0724E18C-4CAC-4DC3-BBF4-CC97F238FCC4}" cache="NativeTimeline_Order_Date" caption="Order_Date" level="1" selectionLevel="1" scrollPosition="2025-01-01T00:00:00"/>
  <timeline name="Order_Date 2" xr10:uid="{0F99B868-EECA-415E-8FAE-90A6F5F722AB}" cache="NativeTimeline_Order_Date" caption="Order_Date" level="2" selectionLevel="2" scrollPosition="2025-08-23T00:00:00"/>
  <timeline name="Order_Date 3" xr10:uid="{5D255122-B524-4425-8071-29C5D20BA2DD}" cache="NativeTimeline_Order_Date" caption="Order_Date" level="3" selectionLevel="3" scrollPosition="2025-06-2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501"/>
  <sheetViews>
    <sheetView topLeftCell="J1" workbookViewId="0">
      <pane ySplit="1" topLeftCell="A2" activePane="bottomLeft" state="frozen"/>
      <selection pane="bottomLeft" activeCell="U13" sqref="U13"/>
    </sheetView>
  </sheetViews>
  <sheetFormatPr defaultRowHeight="14.4" x14ac:dyDescent="0.3"/>
  <cols>
    <col min="1" max="1" width="10.44140625" customWidth="1"/>
    <col min="2" max="2" width="12.5546875" style="17" customWidth="1"/>
    <col min="3" max="3" width="13.77734375" customWidth="1"/>
    <col min="4" max="4" width="17" customWidth="1"/>
    <col min="5" max="5" width="15" customWidth="1"/>
    <col min="6" max="6" width="17" customWidth="1"/>
    <col min="7" max="7" width="10" customWidth="1"/>
    <col min="8" max="8" width="13" customWidth="1"/>
    <col min="9" max="9" width="10.21875" customWidth="1"/>
    <col min="10" max="10" width="12" customWidth="1"/>
    <col min="11" max="11" width="10.21875" customWidth="1"/>
    <col min="12" max="14" width="10" customWidth="1"/>
    <col min="15" max="15" width="18.21875" customWidth="1"/>
    <col min="16" max="16" width="15" customWidth="1"/>
    <col min="20" max="20" width="13.5546875" customWidth="1"/>
    <col min="21" max="21" width="19" customWidth="1"/>
    <col min="22" max="22" width="16.33203125" customWidth="1"/>
    <col min="23" max="23" width="13.33203125" customWidth="1"/>
    <col min="24" max="24" width="15.109375" customWidth="1"/>
    <col min="25" max="25" width="19.77734375" customWidth="1"/>
    <col min="26" max="26" width="17.6640625" customWidth="1"/>
  </cols>
  <sheetData>
    <row r="1" spans="1:25" x14ac:dyDescent="0.3">
      <c r="A1" s="18" t="s">
        <v>0</v>
      </c>
      <c r="B1" s="16"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605</v>
      </c>
      <c r="R1" s="18" t="s">
        <v>643</v>
      </c>
      <c r="T1" s="19" t="s">
        <v>620</v>
      </c>
      <c r="U1" s="19" t="s">
        <v>637</v>
      </c>
      <c r="V1" s="19" t="s">
        <v>638</v>
      </c>
      <c r="W1" s="19" t="s">
        <v>639</v>
      </c>
      <c r="X1" s="19" t="s">
        <v>640</v>
      </c>
      <c r="Y1" s="19" t="s">
        <v>641</v>
      </c>
    </row>
    <row r="2" spans="1:25" x14ac:dyDescent="0.3">
      <c r="A2" t="s">
        <v>16</v>
      </c>
      <c r="B2" s="17">
        <v>45985</v>
      </c>
      <c r="C2" t="s">
        <v>17</v>
      </c>
      <c r="D2" t="s">
        <v>18</v>
      </c>
      <c r="E2" t="s">
        <v>19</v>
      </c>
      <c r="F2" t="s">
        <v>20</v>
      </c>
      <c r="G2" t="s">
        <v>21</v>
      </c>
      <c r="H2" t="s">
        <v>22</v>
      </c>
      <c r="I2">
        <v>3</v>
      </c>
      <c r="J2">
        <v>55000</v>
      </c>
      <c r="K2">
        <v>0</v>
      </c>
      <c r="L2">
        <v>165000</v>
      </c>
      <c r="M2">
        <v>135000</v>
      </c>
      <c r="N2">
        <v>30000</v>
      </c>
      <c r="O2" t="s">
        <v>23</v>
      </c>
      <c r="P2" t="s">
        <v>24</v>
      </c>
      <c r="Q2" t="str">
        <f>TEXT(Table1[[#This Row],[Order_Date]],"mmm")</f>
        <v>Nov</v>
      </c>
      <c r="R2" t="b">
        <f>ISNUMBER(B2)</f>
        <v>1</v>
      </c>
      <c r="T2" s="6">
        <f>Table1[[#This Row],[Profit]]/Table1[[#This Row],[Sales]]</f>
        <v>0.18181818181818182</v>
      </c>
      <c r="U2" s="8">
        <f>SUM(L:L)</f>
        <v>12874275</v>
      </c>
      <c r="V2" s="8">
        <f>SUM(N:N)</f>
        <v>2548675</v>
      </c>
      <c r="W2">
        <f>COUNTA(A:A)-1</f>
        <v>500</v>
      </c>
      <c r="X2">
        <f>SUM(I:I)</f>
        <v>1512</v>
      </c>
      <c r="Y2" s="9">
        <f>SUM(L:L)/COUNTA(A:A)-1</f>
        <v>25696.155688622755</v>
      </c>
    </row>
    <row r="3" spans="1:25" x14ac:dyDescent="0.3">
      <c r="A3" t="s">
        <v>25</v>
      </c>
      <c r="B3" s="17">
        <v>45960</v>
      </c>
      <c r="C3" t="s">
        <v>26</v>
      </c>
      <c r="D3" t="s">
        <v>27</v>
      </c>
      <c r="E3" t="s">
        <v>19</v>
      </c>
      <c r="F3" t="s">
        <v>20</v>
      </c>
      <c r="G3" t="s">
        <v>28</v>
      </c>
      <c r="H3" t="s">
        <v>29</v>
      </c>
      <c r="I3">
        <v>1</v>
      </c>
      <c r="J3">
        <v>55000</v>
      </c>
      <c r="K3">
        <v>0</v>
      </c>
      <c r="L3">
        <v>55000</v>
      </c>
      <c r="M3">
        <v>45000</v>
      </c>
      <c r="N3">
        <v>10000</v>
      </c>
      <c r="O3" t="s">
        <v>23</v>
      </c>
      <c r="P3" t="s">
        <v>24</v>
      </c>
      <c r="Q3" t="str">
        <f>TEXT(Table1[[#This Row],[Order_Date]],"mmm")</f>
        <v>Oct</v>
      </c>
      <c r="R3" t="b">
        <f t="shared" ref="R3:R65" si="0">ISNUMBER(B3)</f>
        <v>1</v>
      </c>
      <c r="T3" s="6">
        <f>Table1[[#This Row],[Profit]]/Table1[[#This Row],[Sales]]</f>
        <v>0.18181818181818182</v>
      </c>
    </row>
    <row r="4" spans="1:25" x14ac:dyDescent="0.3">
      <c r="A4" t="s">
        <v>30</v>
      </c>
      <c r="B4" s="17">
        <v>45990</v>
      </c>
      <c r="C4" t="s">
        <v>31</v>
      </c>
      <c r="D4" t="s">
        <v>32</v>
      </c>
      <c r="E4" t="s">
        <v>33</v>
      </c>
      <c r="F4" t="s">
        <v>34</v>
      </c>
      <c r="G4" t="s">
        <v>35</v>
      </c>
      <c r="H4" t="s">
        <v>36</v>
      </c>
      <c r="I4">
        <v>2</v>
      </c>
      <c r="J4">
        <v>7000</v>
      </c>
      <c r="K4">
        <v>0.05</v>
      </c>
      <c r="L4">
        <v>13300</v>
      </c>
      <c r="M4">
        <v>9600</v>
      </c>
      <c r="N4">
        <v>3700</v>
      </c>
      <c r="O4" t="s">
        <v>23</v>
      </c>
      <c r="P4" t="s">
        <v>24</v>
      </c>
      <c r="Q4" t="str">
        <f>TEXT(Table1[[#This Row],[Order_Date]],"mmm")</f>
        <v>Nov</v>
      </c>
      <c r="R4" t="b">
        <f t="shared" si="0"/>
        <v>1</v>
      </c>
      <c r="T4" s="6">
        <f>Table1[[#This Row],[Profit]]/Table1[[#This Row],[Sales]]</f>
        <v>0.2781954887218045</v>
      </c>
    </row>
    <row r="5" spans="1:25" x14ac:dyDescent="0.3">
      <c r="A5" t="s">
        <v>37</v>
      </c>
      <c r="B5" s="17">
        <v>46015</v>
      </c>
      <c r="C5" t="s">
        <v>26</v>
      </c>
      <c r="D5" t="s">
        <v>27</v>
      </c>
      <c r="E5" t="s">
        <v>38</v>
      </c>
      <c r="F5" t="s">
        <v>34</v>
      </c>
      <c r="G5" t="s">
        <v>21</v>
      </c>
      <c r="H5" t="s">
        <v>22</v>
      </c>
      <c r="I5">
        <v>3</v>
      </c>
      <c r="J5">
        <v>12000</v>
      </c>
      <c r="K5">
        <v>0.05</v>
      </c>
      <c r="L5">
        <v>34200</v>
      </c>
      <c r="M5">
        <v>25500</v>
      </c>
      <c r="N5">
        <v>8700</v>
      </c>
      <c r="O5" t="s">
        <v>23</v>
      </c>
      <c r="P5" t="s">
        <v>24</v>
      </c>
      <c r="Q5" t="str">
        <f>TEXT(Table1[[#This Row],[Order_Date]],"mmm")</f>
        <v>Dec</v>
      </c>
      <c r="R5" t="b">
        <f t="shared" si="0"/>
        <v>1</v>
      </c>
      <c r="T5" s="6">
        <f>Table1[[#This Row],[Profit]]/Table1[[#This Row],[Sales]]</f>
        <v>0.25438596491228072</v>
      </c>
    </row>
    <row r="6" spans="1:25" x14ac:dyDescent="0.3">
      <c r="A6" t="s">
        <v>39</v>
      </c>
      <c r="B6" s="17">
        <v>45852</v>
      </c>
      <c r="C6" t="s">
        <v>17</v>
      </c>
      <c r="D6" t="s">
        <v>18</v>
      </c>
      <c r="E6" t="s">
        <v>38</v>
      </c>
      <c r="F6" t="s">
        <v>34</v>
      </c>
      <c r="G6" t="s">
        <v>40</v>
      </c>
      <c r="H6" t="s">
        <v>41</v>
      </c>
      <c r="I6">
        <v>3</v>
      </c>
      <c r="J6">
        <v>12000</v>
      </c>
      <c r="K6">
        <v>0.1</v>
      </c>
      <c r="L6">
        <v>32400</v>
      </c>
      <c r="M6">
        <v>25500</v>
      </c>
      <c r="N6">
        <v>6900</v>
      </c>
      <c r="O6" t="s">
        <v>23</v>
      </c>
      <c r="P6" t="s">
        <v>42</v>
      </c>
      <c r="Q6" t="str">
        <f>TEXT(Table1[[#This Row],[Order_Date]],"mmm")</f>
        <v>Jul</v>
      </c>
      <c r="R6" t="b">
        <f t="shared" si="0"/>
        <v>1</v>
      </c>
      <c r="T6" s="6">
        <f>Table1[[#This Row],[Profit]]/Table1[[#This Row],[Sales]]</f>
        <v>0.21296296296296297</v>
      </c>
    </row>
    <row r="7" spans="1:25" x14ac:dyDescent="0.3">
      <c r="A7" t="s">
        <v>43</v>
      </c>
      <c r="B7" s="17">
        <v>45698</v>
      </c>
      <c r="C7" t="s">
        <v>31</v>
      </c>
      <c r="D7" t="s">
        <v>32</v>
      </c>
      <c r="E7" t="s">
        <v>44</v>
      </c>
      <c r="F7" t="s">
        <v>34</v>
      </c>
      <c r="G7" t="s">
        <v>40</v>
      </c>
      <c r="H7" t="s">
        <v>45</v>
      </c>
      <c r="I7">
        <v>5</v>
      </c>
      <c r="J7">
        <v>8000</v>
      </c>
      <c r="K7">
        <v>0</v>
      </c>
      <c r="L7">
        <v>40000</v>
      </c>
      <c r="M7">
        <v>28000</v>
      </c>
      <c r="N7">
        <v>12000</v>
      </c>
      <c r="O7" t="s">
        <v>23</v>
      </c>
      <c r="P7" t="s">
        <v>24</v>
      </c>
      <c r="Q7" t="str">
        <f>TEXT(Table1[[#This Row],[Order_Date]],"mmm")</f>
        <v>Feb</v>
      </c>
      <c r="R7" t="b">
        <f t="shared" si="0"/>
        <v>1</v>
      </c>
      <c r="T7" s="6">
        <f>Table1[[#This Row],[Profit]]/Table1[[#This Row],[Sales]]</f>
        <v>0.3</v>
      </c>
    </row>
    <row r="8" spans="1:25" x14ac:dyDescent="0.3">
      <c r="A8" t="s">
        <v>46</v>
      </c>
      <c r="B8" s="17">
        <v>45996</v>
      </c>
      <c r="C8" t="s">
        <v>47</v>
      </c>
      <c r="D8" t="s">
        <v>48</v>
      </c>
      <c r="E8" t="s">
        <v>49</v>
      </c>
      <c r="F8" t="s">
        <v>50</v>
      </c>
      <c r="G8" t="s">
        <v>28</v>
      </c>
      <c r="H8" t="s">
        <v>29</v>
      </c>
      <c r="I8">
        <v>3</v>
      </c>
      <c r="J8">
        <v>3500</v>
      </c>
      <c r="K8">
        <v>0</v>
      </c>
      <c r="L8">
        <v>10500</v>
      </c>
      <c r="M8">
        <v>7200</v>
      </c>
      <c r="N8">
        <v>3300</v>
      </c>
      <c r="O8" t="s">
        <v>51</v>
      </c>
      <c r="P8" t="s">
        <v>42</v>
      </c>
      <c r="Q8" t="str">
        <f>TEXT(Table1[[#This Row],[Order_Date]],"mmm")</f>
        <v>Dec</v>
      </c>
      <c r="R8" t="b">
        <f t="shared" si="0"/>
        <v>1</v>
      </c>
      <c r="T8" s="6">
        <f>Table1[[#This Row],[Profit]]/Table1[[#This Row],[Sales]]</f>
        <v>0.31428571428571428</v>
      </c>
    </row>
    <row r="9" spans="1:25" x14ac:dyDescent="0.3">
      <c r="A9" t="s">
        <v>52</v>
      </c>
      <c r="B9" s="17">
        <v>45890</v>
      </c>
      <c r="C9" t="s">
        <v>53</v>
      </c>
      <c r="D9" t="s">
        <v>54</v>
      </c>
      <c r="E9" t="s">
        <v>55</v>
      </c>
      <c r="F9" t="s">
        <v>20</v>
      </c>
      <c r="G9" t="s">
        <v>40</v>
      </c>
      <c r="H9" t="s">
        <v>41</v>
      </c>
      <c r="I9">
        <v>3</v>
      </c>
      <c r="J9">
        <v>2500</v>
      </c>
      <c r="K9">
        <v>0.05</v>
      </c>
      <c r="L9">
        <v>7125</v>
      </c>
      <c r="M9">
        <v>5100</v>
      </c>
      <c r="N9">
        <v>2025</v>
      </c>
      <c r="O9" t="s">
        <v>23</v>
      </c>
      <c r="P9" t="s">
        <v>24</v>
      </c>
      <c r="Q9" t="str">
        <f>TEXT(Table1[[#This Row],[Order_Date]],"mmm")</f>
        <v>Aug</v>
      </c>
      <c r="R9" t="b">
        <f t="shared" si="0"/>
        <v>1</v>
      </c>
      <c r="T9" s="6">
        <f>Table1[[#This Row],[Profit]]/Table1[[#This Row],[Sales]]</f>
        <v>0.28421052631578947</v>
      </c>
    </row>
    <row r="10" spans="1:25" x14ac:dyDescent="0.3">
      <c r="A10" t="s">
        <v>56</v>
      </c>
      <c r="B10" s="17">
        <v>45931</v>
      </c>
      <c r="C10" t="s">
        <v>47</v>
      </c>
      <c r="D10" t="s">
        <v>48</v>
      </c>
      <c r="E10" t="s">
        <v>55</v>
      </c>
      <c r="F10" t="s">
        <v>20</v>
      </c>
      <c r="G10" t="s">
        <v>35</v>
      </c>
      <c r="H10" t="s">
        <v>57</v>
      </c>
      <c r="I10">
        <v>4</v>
      </c>
      <c r="J10">
        <v>2500</v>
      </c>
      <c r="K10">
        <v>0.15</v>
      </c>
      <c r="L10">
        <v>8500</v>
      </c>
      <c r="M10">
        <v>6800</v>
      </c>
      <c r="N10">
        <v>1700</v>
      </c>
      <c r="O10" t="s">
        <v>58</v>
      </c>
      <c r="P10" t="s">
        <v>42</v>
      </c>
      <c r="Q10" t="str">
        <f>TEXT(Table1[[#This Row],[Order_Date]],"mmm")</f>
        <v>Oct</v>
      </c>
      <c r="R10" t="b">
        <f t="shared" si="0"/>
        <v>1</v>
      </c>
      <c r="T10" s="6">
        <f>Table1[[#This Row],[Profit]]/Table1[[#This Row],[Sales]]</f>
        <v>0.2</v>
      </c>
    </row>
    <row r="11" spans="1:25" x14ac:dyDescent="0.3">
      <c r="A11" t="s">
        <v>59</v>
      </c>
      <c r="B11" s="17">
        <v>45686</v>
      </c>
      <c r="C11" t="s">
        <v>47</v>
      </c>
      <c r="D11" t="s">
        <v>48</v>
      </c>
      <c r="E11" t="s">
        <v>60</v>
      </c>
      <c r="F11" t="s">
        <v>50</v>
      </c>
      <c r="G11" t="s">
        <v>40</v>
      </c>
      <c r="H11" t="s">
        <v>61</v>
      </c>
      <c r="I11">
        <v>1</v>
      </c>
      <c r="J11">
        <v>6000</v>
      </c>
      <c r="K11">
        <v>0.05</v>
      </c>
      <c r="L11">
        <v>5700</v>
      </c>
      <c r="M11">
        <v>4200</v>
      </c>
      <c r="N11">
        <v>1500</v>
      </c>
      <c r="O11" t="s">
        <v>23</v>
      </c>
      <c r="P11" t="s">
        <v>24</v>
      </c>
      <c r="Q11" t="str">
        <f>TEXT(Table1[[#This Row],[Order_Date]],"mmm")</f>
        <v>Jan</v>
      </c>
      <c r="R11" t="b">
        <f t="shared" si="0"/>
        <v>1</v>
      </c>
      <c r="T11" s="6">
        <f>Table1[[#This Row],[Profit]]/Table1[[#This Row],[Sales]]</f>
        <v>0.26315789473684209</v>
      </c>
      <c r="V11" s="17"/>
    </row>
    <row r="12" spans="1:25" x14ac:dyDescent="0.3">
      <c r="A12" t="s">
        <v>62</v>
      </c>
      <c r="B12" s="17">
        <v>45948</v>
      </c>
      <c r="C12" t="s">
        <v>63</v>
      </c>
      <c r="D12" t="s">
        <v>64</v>
      </c>
      <c r="E12" t="s">
        <v>65</v>
      </c>
      <c r="F12" t="s">
        <v>20</v>
      </c>
      <c r="G12" t="s">
        <v>35</v>
      </c>
      <c r="H12" t="s">
        <v>36</v>
      </c>
      <c r="I12">
        <v>4</v>
      </c>
      <c r="J12">
        <v>5000</v>
      </c>
      <c r="K12">
        <v>0.1</v>
      </c>
      <c r="L12">
        <v>18000</v>
      </c>
      <c r="M12">
        <v>14000</v>
      </c>
      <c r="N12">
        <v>4000</v>
      </c>
      <c r="O12" t="s">
        <v>58</v>
      </c>
      <c r="P12" t="s">
        <v>42</v>
      </c>
      <c r="Q12" t="str">
        <f>TEXT(Table1[[#This Row],[Order_Date]],"mmm")</f>
        <v>Oct</v>
      </c>
      <c r="R12" t="b">
        <f t="shared" si="0"/>
        <v>1</v>
      </c>
      <c r="T12" s="6">
        <f>Table1[[#This Row],[Profit]]/Table1[[#This Row],[Sales]]</f>
        <v>0.22222222222222221</v>
      </c>
    </row>
    <row r="13" spans="1:25" x14ac:dyDescent="0.3">
      <c r="A13" t="s">
        <v>66</v>
      </c>
      <c r="B13" s="17">
        <v>45729</v>
      </c>
      <c r="C13" t="s">
        <v>47</v>
      </c>
      <c r="D13" t="s">
        <v>48</v>
      </c>
      <c r="E13" t="s">
        <v>67</v>
      </c>
      <c r="F13" t="s">
        <v>50</v>
      </c>
      <c r="G13" t="s">
        <v>40</v>
      </c>
      <c r="H13" t="s">
        <v>45</v>
      </c>
      <c r="I13">
        <v>5</v>
      </c>
      <c r="J13">
        <v>4500</v>
      </c>
      <c r="K13">
        <v>0.15</v>
      </c>
      <c r="L13">
        <v>19125</v>
      </c>
      <c r="M13">
        <v>15500</v>
      </c>
      <c r="N13">
        <v>3625</v>
      </c>
      <c r="O13" t="s">
        <v>51</v>
      </c>
      <c r="P13" t="s">
        <v>42</v>
      </c>
      <c r="Q13" t="str">
        <f>TEXT(Table1[[#This Row],[Order_Date]],"mmm")</f>
        <v>Mar</v>
      </c>
      <c r="R13" t="b">
        <f t="shared" si="0"/>
        <v>1</v>
      </c>
      <c r="T13" s="6">
        <f>Table1[[#This Row],[Profit]]/Table1[[#This Row],[Sales]]</f>
        <v>0.18954248366013071</v>
      </c>
    </row>
    <row r="14" spans="1:25" x14ac:dyDescent="0.3">
      <c r="A14" t="s">
        <v>68</v>
      </c>
      <c r="B14" s="17">
        <v>45843</v>
      </c>
      <c r="C14" t="s">
        <v>47</v>
      </c>
      <c r="D14" t="s">
        <v>48</v>
      </c>
      <c r="E14" t="s">
        <v>55</v>
      </c>
      <c r="F14" t="s">
        <v>20</v>
      </c>
      <c r="G14" t="s">
        <v>35</v>
      </c>
      <c r="H14" t="s">
        <v>69</v>
      </c>
      <c r="I14">
        <v>5</v>
      </c>
      <c r="J14">
        <v>2500</v>
      </c>
      <c r="K14">
        <v>0</v>
      </c>
      <c r="L14">
        <v>12500</v>
      </c>
      <c r="M14">
        <v>8500</v>
      </c>
      <c r="N14">
        <v>4000</v>
      </c>
      <c r="O14" t="s">
        <v>23</v>
      </c>
      <c r="P14" t="s">
        <v>24</v>
      </c>
      <c r="Q14" t="str">
        <f>TEXT(Table1[[#This Row],[Order_Date]],"mmm")</f>
        <v>Jul</v>
      </c>
      <c r="R14" t="b">
        <f t="shared" si="0"/>
        <v>1</v>
      </c>
      <c r="T14" s="6">
        <f>Table1[[#This Row],[Profit]]/Table1[[#This Row],[Sales]]</f>
        <v>0.32</v>
      </c>
    </row>
    <row r="15" spans="1:25" x14ac:dyDescent="0.3">
      <c r="A15" t="s">
        <v>70</v>
      </c>
      <c r="B15" s="17">
        <v>45979</v>
      </c>
      <c r="C15" t="s">
        <v>71</v>
      </c>
      <c r="D15" t="s">
        <v>72</v>
      </c>
      <c r="E15" t="s">
        <v>49</v>
      </c>
      <c r="F15" t="s">
        <v>50</v>
      </c>
      <c r="G15" t="s">
        <v>28</v>
      </c>
      <c r="H15" t="s">
        <v>73</v>
      </c>
      <c r="I15">
        <v>4</v>
      </c>
      <c r="J15">
        <v>3500</v>
      </c>
      <c r="K15">
        <v>0.1</v>
      </c>
      <c r="L15">
        <v>12600</v>
      </c>
      <c r="M15">
        <v>9600</v>
      </c>
      <c r="N15">
        <v>3000</v>
      </c>
      <c r="O15" t="s">
        <v>51</v>
      </c>
      <c r="P15" t="s">
        <v>42</v>
      </c>
      <c r="Q15" t="str">
        <f>TEXT(Table1[[#This Row],[Order_Date]],"mmm")</f>
        <v>Nov</v>
      </c>
      <c r="R15" t="b">
        <f t="shared" si="0"/>
        <v>1</v>
      </c>
      <c r="T15" s="6">
        <f>Table1[[#This Row],[Profit]]/Table1[[#This Row],[Sales]]</f>
        <v>0.23809523809523808</v>
      </c>
    </row>
    <row r="16" spans="1:25" x14ac:dyDescent="0.3">
      <c r="A16" t="s">
        <v>74</v>
      </c>
      <c r="B16" s="17">
        <v>45941</v>
      </c>
      <c r="C16" t="s">
        <v>75</v>
      </c>
      <c r="D16" t="s">
        <v>76</v>
      </c>
      <c r="E16" t="s">
        <v>77</v>
      </c>
      <c r="F16" t="s">
        <v>78</v>
      </c>
      <c r="G16" t="s">
        <v>40</v>
      </c>
      <c r="H16" t="s">
        <v>45</v>
      </c>
      <c r="I16">
        <v>1</v>
      </c>
      <c r="J16">
        <v>1800</v>
      </c>
      <c r="K16">
        <v>0.05</v>
      </c>
      <c r="L16">
        <v>1710</v>
      </c>
      <c r="M16">
        <v>1100</v>
      </c>
      <c r="N16">
        <v>610</v>
      </c>
      <c r="O16" t="s">
        <v>23</v>
      </c>
      <c r="P16" t="s">
        <v>42</v>
      </c>
      <c r="Q16" t="str">
        <f>TEXT(Table1[[#This Row],[Order_Date]],"mmm")</f>
        <v>Oct</v>
      </c>
      <c r="R16" t="b">
        <f t="shared" si="0"/>
        <v>1</v>
      </c>
      <c r="T16" s="6">
        <f>Table1[[#This Row],[Profit]]/Table1[[#This Row],[Sales]]</f>
        <v>0.35672514619883039</v>
      </c>
    </row>
    <row r="17" spans="1:20" x14ac:dyDescent="0.3">
      <c r="A17" t="s">
        <v>79</v>
      </c>
      <c r="B17" s="17">
        <v>45880</v>
      </c>
      <c r="C17" t="s">
        <v>71</v>
      </c>
      <c r="D17" t="s">
        <v>72</v>
      </c>
      <c r="E17" t="s">
        <v>80</v>
      </c>
      <c r="F17" t="s">
        <v>81</v>
      </c>
      <c r="G17" t="s">
        <v>40</v>
      </c>
      <c r="H17" t="s">
        <v>45</v>
      </c>
      <c r="I17">
        <v>1</v>
      </c>
      <c r="J17">
        <v>1800</v>
      </c>
      <c r="K17">
        <v>0</v>
      </c>
      <c r="L17">
        <v>1800</v>
      </c>
      <c r="M17">
        <v>1100</v>
      </c>
      <c r="N17">
        <v>700</v>
      </c>
      <c r="O17" t="s">
        <v>23</v>
      </c>
      <c r="P17" t="s">
        <v>42</v>
      </c>
      <c r="Q17" t="str">
        <f>TEXT(Table1[[#This Row],[Order_Date]],"mmm")</f>
        <v>Aug</v>
      </c>
      <c r="R17" t="b">
        <f t="shared" si="0"/>
        <v>1</v>
      </c>
      <c r="T17" s="6">
        <f>Table1[[#This Row],[Profit]]/Table1[[#This Row],[Sales]]</f>
        <v>0.3888888888888889</v>
      </c>
    </row>
    <row r="18" spans="1:20" x14ac:dyDescent="0.3">
      <c r="A18" t="s">
        <v>82</v>
      </c>
      <c r="B18" s="17">
        <v>45985</v>
      </c>
      <c r="C18" t="s">
        <v>83</v>
      </c>
      <c r="D18" t="s">
        <v>84</v>
      </c>
      <c r="E18" t="s">
        <v>85</v>
      </c>
      <c r="F18" t="s">
        <v>78</v>
      </c>
      <c r="G18" t="s">
        <v>21</v>
      </c>
      <c r="H18" t="s">
        <v>86</v>
      </c>
      <c r="I18">
        <v>2</v>
      </c>
      <c r="J18">
        <v>900</v>
      </c>
      <c r="K18">
        <v>0</v>
      </c>
      <c r="L18">
        <v>1800</v>
      </c>
      <c r="M18">
        <v>1000</v>
      </c>
      <c r="N18">
        <v>800</v>
      </c>
      <c r="O18" t="s">
        <v>23</v>
      </c>
      <c r="P18" t="s">
        <v>42</v>
      </c>
      <c r="Q18" t="str">
        <f>TEXT(Table1[[#This Row],[Order_Date]],"mmm")</f>
        <v>Nov</v>
      </c>
      <c r="R18" t="b">
        <f t="shared" si="0"/>
        <v>1</v>
      </c>
      <c r="T18" s="6">
        <f>Table1[[#This Row],[Profit]]/Table1[[#This Row],[Sales]]</f>
        <v>0.44444444444444442</v>
      </c>
    </row>
    <row r="19" spans="1:20" x14ac:dyDescent="0.3">
      <c r="A19" t="s">
        <v>87</v>
      </c>
      <c r="B19" s="17">
        <v>45908</v>
      </c>
      <c r="C19" t="s">
        <v>75</v>
      </c>
      <c r="D19" t="s">
        <v>76</v>
      </c>
      <c r="E19" t="s">
        <v>88</v>
      </c>
      <c r="F19" t="s">
        <v>20</v>
      </c>
      <c r="G19" t="s">
        <v>40</v>
      </c>
      <c r="H19" t="s">
        <v>41</v>
      </c>
      <c r="I19">
        <v>3</v>
      </c>
      <c r="J19">
        <v>25000</v>
      </c>
      <c r="K19">
        <v>0</v>
      </c>
      <c r="L19">
        <v>75000</v>
      </c>
      <c r="M19">
        <v>61500</v>
      </c>
      <c r="N19">
        <v>13500</v>
      </c>
      <c r="O19" t="s">
        <v>58</v>
      </c>
      <c r="P19" t="s">
        <v>24</v>
      </c>
      <c r="Q19" t="str">
        <f>TEXT(Table1[[#This Row],[Order_Date]],"mmm")</f>
        <v>Sep</v>
      </c>
      <c r="R19" t="b">
        <f t="shared" si="0"/>
        <v>1</v>
      </c>
      <c r="T19" s="6">
        <f>Table1[[#This Row],[Profit]]/Table1[[#This Row],[Sales]]</f>
        <v>0.18</v>
      </c>
    </row>
    <row r="20" spans="1:20" x14ac:dyDescent="0.3">
      <c r="A20" t="s">
        <v>89</v>
      </c>
      <c r="B20" s="17">
        <v>45701</v>
      </c>
      <c r="C20" t="s">
        <v>90</v>
      </c>
      <c r="D20" t="s">
        <v>91</v>
      </c>
      <c r="E20" t="s">
        <v>60</v>
      </c>
      <c r="F20" t="s">
        <v>50</v>
      </c>
      <c r="G20" t="s">
        <v>21</v>
      </c>
      <c r="H20" t="s">
        <v>22</v>
      </c>
      <c r="I20">
        <v>1</v>
      </c>
      <c r="J20">
        <v>6000</v>
      </c>
      <c r="K20">
        <v>0.1</v>
      </c>
      <c r="L20">
        <v>5400</v>
      </c>
      <c r="M20">
        <v>4200</v>
      </c>
      <c r="N20">
        <v>1200</v>
      </c>
      <c r="O20" t="s">
        <v>58</v>
      </c>
      <c r="P20" t="s">
        <v>42</v>
      </c>
      <c r="Q20" t="str">
        <f>TEXT(Table1[[#This Row],[Order_Date]],"mmm")</f>
        <v>Feb</v>
      </c>
      <c r="R20" t="b">
        <f t="shared" si="0"/>
        <v>1</v>
      </c>
      <c r="T20" s="6">
        <f>Table1[[#This Row],[Profit]]/Table1[[#This Row],[Sales]]</f>
        <v>0.22222222222222221</v>
      </c>
    </row>
    <row r="21" spans="1:20" x14ac:dyDescent="0.3">
      <c r="A21" t="s">
        <v>92</v>
      </c>
      <c r="B21" s="17">
        <v>45928</v>
      </c>
      <c r="C21" t="s">
        <v>93</v>
      </c>
      <c r="D21" t="s">
        <v>94</v>
      </c>
      <c r="E21" t="s">
        <v>33</v>
      </c>
      <c r="F21" t="s">
        <v>34</v>
      </c>
      <c r="G21" t="s">
        <v>21</v>
      </c>
      <c r="H21" t="s">
        <v>95</v>
      </c>
      <c r="I21">
        <v>2</v>
      </c>
      <c r="J21">
        <v>7000</v>
      </c>
      <c r="K21">
        <v>0.05</v>
      </c>
      <c r="L21">
        <v>13300</v>
      </c>
      <c r="M21">
        <v>9600</v>
      </c>
      <c r="N21">
        <v>3700</v>
      </c>
      <c r="O21" t="s">
        <v>51</v>
      </c>
      <c r="P21" t="s">
        <v>42</v>
      </c>
      <c r="Q21" t="str">
        <f>TEXT(Table1[[#This Row],[Order_Date]],"mmm")</f>
        <v>Sep</v>
      </c>
      <c r="R21" t="b">
        <f t="shared" si="0"/>
        <v>1</v>
      </c>
      <c r="T21" s="6">
        <f>Table1[[#This Row],[Profit]]/Table1[[#This Row],[Sales]]</f>
        <v>0.2781954887218045</v>
      </c>
    </row>
    <row r="22" spans="1:20" x14ac:dyDescent="0.3">
      <c r="A22" t="s">
        <v>96</v>
      </c>
      <c r="B22" s="17">
        <v>45882</v>
      </c>
      <c r="C22" t="s">
        <v>83</v>
      </c>
      <c r="D22" t="s">
        <v>84</v>
      </c>
      <c r="E22" t="s">
        <v>80</v>
      </c>
      <c r="F22" t="s">
        <v>81</v>
      </c>
      <c r="G22" t="s">
        <v>21</v>
      </c>
      <c r="H22" t="s">
        <v>22</v>
      </c>
      <c r="I22">
        <v>1</v>
      </c>
      <c r="J22">
        <v>1800</v>
      </c>
      <c r="K22">
        <v>0</v>
      </c>
      <c r="L22">
        <v>1800</v>
      </c>
      <c r="M22">
        <v>1100</v>
      </c>
      <c r="N22">
        <v>700</v>
      </c>
      <c r="O22" t="s">
        <v>97</v>
      </c>
      <c r="P22" t="s">
        <v>24</v>
      </c>
      <c r="Q22" t="str">
        <f>TEXT(Table1[[#This Row],[Order_Date]],"mmm")</f>
        <v>Aug</v>
      </c>
      <c r="R22" t="b">
        <f t="shared" si="0"/>
        <v>1</v>
      </c>
      <c r="T22" s="6">
        <f>Table1[[#This Row],[Profit]]/Table1[[#This Row],[Sales]]</f>
        <v>0.3888888888888889</v>
      </c>
    </row>
    <row r="23" spans="1:20" x14ac:dyDescent="0.3">
      <c r="A23" t="s">
        <v>98</v>
      </c>
      <c r="B23" s="17">
        <v>45959</v>
      </c>
      <c r="C23" t="s">
        <v>31</v>
      </c>
      <c r="D23" t="s">
        <v>32</v>
      </c>
      <c r="E23" t="s">
        <v>65</v>
      </c>
      <c r="F23" t="s">
        <v>20</v>
      </c>
      <c r="G23" t="s">
        <v>21</v>
      </c>
      <c r="H23" t="s">
        <v>22</v>
      </c>
      <c r="I23">
        <v>5</v>
      </c>
      <c r="J23">
        <v>5000</v>
      </c>
      <c r="K23">
        <v>0</v>
      </c>
      <c r="L23">
        <v>25000</v>
      </c>
      <c r="M23">
        <v>17500</v>
      </c>
      <c r="N23">
        <v>7500</v>
      </c>
      <c r="O23" t="s">
        <v>23</v>
      </c>
      <c r="P23" t="s">
        <v>24</v>
      </c>
      <c r="Q23" t="str">
        <f>TEXT(Table1[[#This Row],[Order_Date]],"mmm")</f>
        <v>Oct</v>
      </c>
      <c r="R23" t="b">
        <f t="shared" si="0"/>
        <v>1</v>
      </c>
      <c r="T23" s="6">
        <f>Table1[[#This Row],[Profit]]/Table1[[#This Row],[Sales]]</f>
        <v>0.3</v>
      </c>
    </row>
    <row r="24" spans="1:20" x14ac:dyDescent="0.3">
      <c r="A24" t="s">
        <v>99</v>
      </c>
      <c r="B24" s="17">
        <v>45692</v>
      </c>
      <c r="C24" t="s">
        <v>100</v>
      </c>
      <c r="D24" t="s">
        <v>101</v>
      </c>
      <c r="E24" t="s">
        <v>60</v>
      </c>
      <c r="F24" t="s">
        <v>50</v>
      </c>
      <c r="G24" t="s">
        <v>28</v>
      </c>
      <c r="H24" t="s">
        <v>102</v>
      </c>
      <c r="I24">
        <v>3</v>
      </c>
      <c r="J24">
        <v>6000</v>
      </c>
      <c r="K24">
        <v>0</v>
      </c>
      <c r="L24">
        <v>18000</v>
      </c>
      <c r="M24">
        <v>12600</v>
      </c>
      <c r="N24">
        <v>5400</v>
      </c>
      <c r="O24" t="s">
        <v>97</v>
      </c>
      <c r="P24" t="s">
        <v>42</v>
      </c>
      <c r="Q24" t="str">
        <f>TEXT(Table1[[#This Row],[Order_Date]],"mmm")</f>
        <v>Feb</v>
      </c>
      <c r="R24" t="b">
        <f t="shared" si="0"/>
        <v>1</v>
      </c>
      <c r="T24" s="6">
        <f>Table1[[#This Row],[Profit]]/Table1[[#This Row],[Sales]]</f>
        <v>0.3</v>
      </c>
    </row>
    <row r="25" spans="1:20" x14ac:dyDescent="0.3">
      <c r="A25" t="s">
        <v>103</v>
      </c>
      <c r="B25" s="17">
        <v>45767</v>
      </c>
      <c r="C25" t="s">
        <v>31</v>
      </c>
      <c r="D25" t="s">
        <v>32</v>
      </c>
      <c r="E25" t="s">
        <v>55</v>
      </c>
      <c r="F25" t="s">
        <v>20</v>
      </c>
      <c r="G25" t="s">
        <v>35</v>
      </c>
      <c r="H25" t="s">
        <v>69</v>
      </c>
      <c r="I25">
        <v>5</v>
      </c>
      <c r="J25">
        <v>2500</v>
      </c>
      <c r="K25">
        <v>0.1</v>
      </c>
      <c r="L25">
        <v>11250</v>
      </c>
      <c r="M25">
        <v>8500</v>
      </c>
      <c r="N25">
        <v>2750</v>
      </c>
      <c r="O25" t="s">
        <v>51</v>
      </c>
      <c r="P25" t="s">
        <v>24</v>
      </c>
      <c r="Q25" t="str">
        <f>TEXT(Table1[[#This Row],[Order_Date]],"mmm")</f>
        <v>Apr</v>
      </c>
      <c r="R25" t="b">
        <f t="shared" si="0"/>
        <v>1</v>
      </c>
      <c r="T25" s="6">
        <f>Table1[[#This Row],[Profit]]/Table1[[#This Row],[Sales]]</f>
        <v>0.24444444444444444</v>
      </c>
    </row>
    <row r="26" spans="1:20" x14ac:dyDescent="0.3">
      <c r="A26" t="s">
        <v>104</v>
      </c>
      <c r="B26" s="17">
        <v>45706</v>
      </c>
      <c r="C26" t="s">
        <v>17</v>
      </c>
      <c r="D26" t="s">
        <v>18</v>
      </c>
      <c r="E26" t="s">
        <v>77</v>
      </c>
      <c r="F26" t="s">
        <v>78</v>
      </c>
      <c r="G26" t="s">
        <v>40</v>
      </c>
      <c r="H26" t="s">
        <v>61</v>
      </c>
      <c r="I26">
        <v>4</v>
      </c>
      <c r="J26">
        <v>1800</v>
      </c>
      <c r="K26">
        <v>0.1</v>
      </c>
      <c r="L26">
        <v>6480</v>
      </c>
      <c r="M26">
        <v>4400</v>
      </c>
      <c r="N26">
        <v>2080</v>
      </c>
      <c r="O26" t="s">
        <v>51</v>
      </c>
      <c r="P26" t="s">
        <v>24</v>
      </c>
      <c r="Q26" t="str">
        <f>TEXT(Table1[[#This Row],[Order_Date]],"mmm")</f>
        <v>Feb</v>
      </c>
      <c r="R26" t="b">
        <f t="shared" si="0"/>
        <v>1</v>
      </c>
      <c r="T26" s="6">
        <f>Table1[[#This Row],[Profit]]/Table1[[#This Row],[Sales]]</f>
        <v>0.32098765432098764</v>
      </c>
    </row>
    <row r="27" spans="1:20" x14ac:dyDescent="0.3">
      <c r="A27" t="s">
        <v>105</v>
      </c>
      <c r="B27" s="17">
        <v>46002</v>
      </c>
      <c r="C27" t="s">
        <v>17</v>
      </c>
      <c r="D27" t="s">
        <v>18</v>
      </c>
      <c r="E27" t="s">
        <v>19</v>
      </c>
      <c r="F27" t="s">
        <v>20</v>
      </c>
      <c r="G27" t="s">
        <v>40</v>
      </c>
      <c r="H27" t="s">
        <v>41</v>
      </c>
      <c r="I27">
        <v>4</v>
      </c>
      <c r="J27">
        <v>55000</v>
      </c>
      <c r="K27">
        <v>0</v>
      </c>
      <c r="L27">
        <v>220000</v>
      </c>
      <c r="M27">
        <v>180000</v>
      </c>
      <c r="N27">
        <v>40000</v>
      </c>
      <c r="O27" t="s">
        <v>58</v>
      </c>
      <c r="P27" t="s">
        <v>24</v>
      </c>
      <c r="Q27" t="str">
        <f>TEXT(Table1[[#This Row],[Order_Date]],"mmm")</f>
        <v>Dec</v>
      </c>
      <c r="R27" t="b">
        <f t="shared" si="0"/>
        <v>1</v>
      </c>
      <c r="T27" s="6">
        <f>Table1[[#This Row],[Profit]]/Table1[[#This Row],[Sales]]</f>
        <v>0.18181818181818182</v>
      </c>
    </row>
    <row r="28" spans="1:20" x14ac:dyDescent="0.3">
      <c r="A28" t="s">
        <v>106</v>
      </c>
      <c r="B28" s="17">
        <v>45932</v>
      </c>
      <c r="C28" t="s">
        <v>107</v>
      </c>
      <c r="D28" t="s">
        <v>108</v>
      </c>
      <c r="E28" t="s">
        <v>55</v>
      </c>
      <c r="F28" t="s">
        <v>20</v>
      </c>
      <c r="G28" t="s">
        <v>21</v>
      </c>
      <c r="H28" t="s">
        <v>86</v>
      </c>
      <c r="I28">
        <v>4</v>
      </c>
      <c r="J28">
        <v>2500</v>
      </c>
      <c r="K28">
        <v>0.1</v>
      </c>
      <c r="L28">
        <v>9000</v>
      </c>
      <c r="M28">
        <v>6800</v>
      </c>
      <c r="N28">
        <v>2200</v>
      </c>
      <c r="O28" t="s">
        <v>58</v>
      </c>
      <c r="P28" t="s">
        <v>24</v>
      </c>
      <c r="Q28" t="str">
        <f>TEXT(Table1[[#This Row],[Order_Date]],"mmm")</f>
        <v>Oct</v>
      </c>
      <c r="R28" t="b">
        <f t="shared" si="0"/>
        <v>1</v>
      </c>
      <c r="T28" s="6">
        <f>Table1[[#This Row],[Profit]]/Table1[[#This Row],[Sales]]</f>
        <v>0.24444444444444444</v>
      </c>
    </row>
    <row r="29" spans="1:20" x14ac:dyDescent="0.3">
      <c r="A29" t="s">
        <v>109</v>
      </c>
      <c r="B29" s="17">
        <v>45884</v>
      </c>
      <c r="C29" t="s">
        <v>31</v>
      </c>
      <c r="D29" t="s">
        <v>32</v>
      </c>
      <c r="E29" t="s">
        <v>88</v>
      </c>
      <c r="F29" t="s">
        <v>20</v>
      </c>
      <c r="G29" t="s">
        <v>28</v>
      </c>
      <c r="H29" t="s">
        <v>29</v>
      </c>
      <c r="I29">
        <v>1</v>
      </c>
      <c r="J29">
        <v>25000</v>
      </c>
      <c r="K29">
        <v>0</v>
      </c>
      <c r="L29">
        <v>25000</v>
      </c>
      <c r="M29">
        <v>20500</v>
      </c>
      <c r="N29">
        <v>4500</v>
      </c>
      <c r="O29" t="s">
        <v>58</v>
      </c>
      <c r="P29" t="s">
        <v>42</v>
      </c>
      <c r="Q29" t="str">
        <f>TEXT(Table1[[#This Row],[Order_Date]],"mmm")</f>
        <v>Aug</v>
      </c>
      <c r="R29" t="b">
        <f t="shared" si="0"/>
        <v>1</v>
      </c>
      <c r="T29" s="6">
        <f>Table1[[#This Row],[Profit]]/Table1[[#This Row],[Sales]]</f>
        <v>0.18</v>
      </c>
    </row>
    <row r="30" spans="1:20" x14ac:dyDescent="0.3">
      <c r="A30" t="s">
        <v>110</v>
      </c>
      <c r="B30" s="17">
        <v>45906</v>
      </c>
      <c r="C30" t="s">
        <v>90</v>
      </c>
      <c r="D30" t="s">
        <v>91</v>
      </c>
      <c r="E30" t="s">
        <v>65</v>
      </c>
      <c r="F30" t="s">
        <v>20</v>
      </c>
      <c r="G30" t="s">
        <v>28</v>
      </c>
      <c r="H30" t="s">
        <v>29</v>
      </c>
      <c r="I30">
        <v>4</v>
      </c>
      <c r="J30">
        <v>5000</v>
      </c>
      <c r="K30">
        <v>0.1</v>
      </c>
      <c r="L30">
        <v>18000</v>
      </c>
      <c r="M30">
        <v>14000</v>
      </c>
      <c r="N30">
        <v>4000</v>
      </c>
      <c r="O30" t="s">
        <v>23</v>
      </c>
      <c r="P30" t="s">
        <v>42</v>
      </c>
      <c r="Q30" t="str">
        <f>TEXT(Table1[[#This Row],[Order_Date]],"mmm")</f>
        <v>Sep</v>
      </c>
      <c r="R30" t="b">
        <f t="shared" si="0"/>
        <v>1</v>
      </c>
      <c r="T30" s="6">
        <f>Table1[[#This Row],[Profit]]/Table1[[#This Row],[Sales]]</f>
        <v>0.22222222222222221</v>
      </c>
    </row>
    <row r="31" spans="1:20" x14ac:dyDescent="0.3">
      <c r="A31" t="s">
        <v>111</v>
      </c>
      <c r="B31" s="17">
        <v>45793</v>
      </c>
      <c r="C31" t="s">
        <v>107</v>
      </c>
      <c r="D31" t="s">
        <v>108</v>
      </c>
      <c r="E31" t="s">
        <v>44</v>
      </c>
      <c r="F31" t="s">
        <v>34</v>
      </c>
      <c r="G31" t="s">
        <v>35</v>
      </c>
      <c r="H31" t="s">
        <v>69</v>
      </c>
      <c r="I31">
        <v>4</v>
      </c>
      <c r="J31">
        <v>8000</v>
      </c>
      <c r="K31">
        <v>0</v>
      </c>
      <c r="L31">
        <v>32000</v>
      </c>
      <c r="M31">
        <v>22400</v>
      </c>
      <c r="N31">
        <v>9600</v>
      </c>
      <c r="O31" t="s">
        <v>97</v>
      </c>
      <c r="P31" t="s">
        <v>24</v>
      </c>
      <c r="Q31" t="str">
        <f>TEXT(Table1[[#This Row],[Order_Date]],"mmm")</f>
        <v>May</v>
      </c>
      <c r="R31" t="b">
        <f t="shared" si="0"/>
        <v>1</v>
      </c>
      <c r="T31" s="6">
        <f>Table1[[#This Row],[Profit]]/Table1[[#This Row],[Sales]]</f>
        <v>0.3</v>
      </c>
    </row>
    <row r="32" spans="1:20" x14ac:dyDescent="0.3">
      <c r="A32" t="s">
        <v>112</v>
      </c>
      <c r="B32" s="17">
        <v>45687</v>
      </c>
      <c r="C32" t="s">
        <v>113</v>
      </c>
      <c r="D32" t="s">
        <v>114</v>
      </c>
      <c r="E32" t="s">
        <v>67</v>
      </c>
      <c r="F32" t="s">
        <v>50</v>
      </c>
      <c r="G32" t="s">
        <v>28</v>
      </c>
      <c r="H32" t="s">
        <v>102</v>
      </c>
      <c r="I32">
        <v>5</v>
      </c>
      <c r="J32">
        <v>4500</v>
      </c>
      <c r="K32">
        <v>0.05</v>
      </c>
      <c r="L32">
        <v>21375</v>
      </c>
      <c r="M32">
        <v>15500</v>
      </c>
      <c r="N32">
        <v>5875</v>
      </c>
      <c r="O32" t="s">
        <v>23</v>
      </c>
      <c r="P32" t="s">
        <v>24</v>
      </c>
      <c r="Q32" t="str">
        <f>TEXT(Table1[[#This Row],[Order_Date]],"mmm")</f>
        <v>Jan</v>
      </c>
      <c r="R32" t="b">
        <f t="shared" si="0"/>
        <v>1</v>
      </c>
      <c r="T32" s="6">
        <f>Table1[[#This Row],[Profit]]/Table1[[#This Row],[Sales]]</f>
        <v>0.27485380116959063</v>
      </c>
    </row>
    <row r="33" spans="1:20" x14ac:dyDescent="0.3">
      <c r="A33" t="s">
        <v>115</v>
      </c>
      <c r="B33" s="17">
        <v>45957</v>
      </c>
      <c r="C33" t="s">
        <v>90</v>
      </c>
      <c r="D33" t="s">
        <v>91</v>
      </c>
      <c r="E33" t="s">
        <v>116</v>
      </c>
      <c r="F33" t="s">
        <v>78</v>
      </c>
      <c r="G33" t="s">
        <v>21</v>
      </c>
      <c r="H33" t="s">
        <v>22</v>
      </c>
      <c r="I33">
        <v>5</v>
      </c>
      <c r="J33">
        <v>3000</v>
      </c>
      <c r="K33">
        <v>0.15</v>
      </c>
      <c r="L33">
        <v>12750</v>
      </c>
      <c r="M33">
        <v>9500</v>
      </c>
      <c r="N33">
        <v>3250</v>
      </c>
      <c r="O33" t="s">
        <v>23</v>
      </c>
      <c r="P33" t="s">
        <v>24</v>
      </c>
      <c r="Q33" t="str">
        <f>TEXT(Table1[[#This Row],[Order_Date]],"mmm")</f>
        <v>Oct</v>
      </c>
      <c r="R33" t="b">
        <f t="shared" si="0"/>
        <v>1</v>
      </c>
      <c r="T33" s="6">
        <f>Table1[[#This Row],[Profit]]/Table1[[#This Row],[Sales]]</f>
        <v>0.25490196078431371</v>
      </c>
    </row>
    <row r="34" spans="1:20" x14ac:dyDescent="0.3">
      <c r="A34" t="s">
        <v>117</v>
      </c>
      <c r="B34" s="17">
        <v>45693</v>
      </c>
      <c r="C34" t="s">
        <v>93</v>
      </c>
      <c r="D34" t="s">
        <v>94</v>
      </c>
      <c r="E34" t="s">
        <v>88</v>
      </c>
      <c r="F34" t="s">
        <v>20</v>
      </c>
      <c r="G34" t="s">
        <v>35</v>
      </c>
      <c r="H34" t="s">
        <v>69</v>
      </c>
      <c r="I34">
        <v>2</v>
      </c>
      <c r="J34">
        <v>25000</v>
      </c>
      <c r="K34">
        <v>0.15</v>
      </c>
      <c r="L34">
        <v>42500</v>
      </c>
      <c r="M34">
        <v>41000</v>
      </c>
      <c r="N34">
        <v>1500</v>
      </c>
      <c r="O34" t="s">
        <v>58</v>
      </c>
      <c r="P34" t="s">
        <v>24</v>
      </c>
      <c r="Q34" t="str">
        <f>TEXT(Table1[[#This Row],[Order_Date]],"mmm")</f>
        <v>Feb</v>
      </c>
      <c r="R34" t="b">
        <f t="shared" si="0"/>
        <v>1</v>
      </c>
      <c r="T34" s="6">
        <f>Table1[[#This Row],[Profit]]/Table1[[#This Row],[Sales]]</f>
        <v>3.5294117647058823E-2</v>
      </c>
    </row>
    <row r="35" spans="1:20" x14ac:dyDescent="0.3">
      <c r="A35" t="s">
        <v>118</v>
      </c>
      <c r="B35" s="17">
        <v>45975</v>
      </c>
      <c r="C35" t="s">
        <v>119</v>
      </c>
      <c r="D35" t="s">
        <v>120</v>
      </c>
      <c r="E35" t="s">
        <v>33</v>
      </c>
      <c r="F35" t="s">
        <v>34</v>
      </c>
      <c r="G35" t="s">
        <v>40</v>
      </c>
      <c r="H35" t="s">
        <v>61</v>
      </c>
      <c r="I35">
        <v>5</v>
      </c>
      <c r="J35">
        <v>7000</v>
      </c>
      <c r="K35">
        <v>0</v>
      </c>
      <c r="L35">
        <v>35000</v>
      </c>
      <c r="M35">
        <v>24000</v>
      </c>
      <c r="N35">
        <v>11000</v>
      </c>
      <c r="O35" t="s">
        <v>97</v>
      </c>
      <c r="P35" t="s">
        <v>24</v>
      </c>
      <c r="Q35" t="str">
        <f>TEXT(Table1[[#This Row],[Order_Date]],"mmm")</f>
        <v>Nov</v>
      </c>
      <c r="R35" t="b">
        <f t="shared" si="0"/>
        <v>1</v>
      </c>
      <c r="T35" s="6">
        <f>Table1[[#This Row],[Profit]]/Table1[[#This Row],[Sales]]</f>
        <v>0.31428571428571428</v>
      </c>
    </row>
    <row r="36" spans="1:20" x14ac:dyDescent="0.3">
      <c r="A36" t="s">
        <v>121</v>
      </c>
      <c r="B36" s="17">
        <v>45793</v>
      </c>
      <c r="C36" t="s">
        <v>122</v>
      </c>
      <c r="D36" t="s">
        <v>123</v>
      </c>
      <c r="E36" t="s">
        <v>55</v>
      </c>
      <c r="F36" t="s">
        <v>20</v>
      </c>
      <c r="G36" t="s">
        <v>35</v>
      </c>
      <c r="H36" t="s">
        <v>57</v>
      </c>
      <c r="I36">
        <v>3</v>
      </c>
      <c r="J36">
        <v>2500</v>
      </c>
      <c r="K36">
        <v>0</v>
      </c>
      <c r="L36">
        <v>7500</v>
      </c>
      <c r="M36">
        <v>5100</v>
      </c>
      <c r="N36">
        <v>2400</v>
      </c>
      <c r="O36" t="s">
        <v>23</v>
      </c>
      <c r="P36" t="s">
        <v>42</v>
      </c>
      <c r="Q36" t="str">
        <f>TEXT(Table1[[#This Row],[Order_Date]],"mmm")</f>
        <v>May</v>
      </c>
      <c r="R36" t="b">
        <f t="shared" si="0"/>
        <v>1</v>
      </c>
      <c r="T36" s="6">
        <f>Table1[[#This Row],[Profit]]/Table1[[#This Row],[Sales]]</f>
        <v>0.32</v>
      </c>
    </row>
    <row r="37" spans="1:20" x14ac:dyDescent="0.3">
      <c r="A37" t="s">
        <v>124</v>
      </c>
      <c r="B37" s="17">
        <v>45976</v>
      </c>
      <c r="C37" t="s">
        <v>113</v>
      </c>
      <c r="D37" t="s">
        <v>114</v>
      </c>
      <c r="E37" t="s">
        <v>88</v>
      </c>
      <c r="F37" t="s">
        <v>20</v>
      </c>
      <c r="G37" t="s">
        <v>21</v>
      </c>
      <c r="H37" t="s">
        <v>95</v>
      </c>
      <c r="I37">
        <v>1</v>
      </c>
      <c r="J37">
        <v>25000</v>
      </c>
      <c r="K37">
        <v>0.05</v>
      </c>
      <c r="L37">
        <v>23750</v>
      </c>
      <c r="M37">
        <v>20500</v>
      </c>
      <c r="N37">
        <v>3250</v>
      </c>
      <c r="O37" t="s">
        <v>58</v>
      </c>
      <c r="P37" t="s">
        <v>42</v>
      </c>
      <c r="Q37" t="str">
        <f>TEXT(Table1[[#This Row],[Order_Date]],"mmm")</f>
        <v>Nov</v>
      </c>
      <c r="R37" t="b">
        <f t="shared" si="0"/>
        <v>1</v>
      </c>
      <c r="T37" s="6">
        <f>Table1[[#This Row],[Profit]]/Table1[[#This Row],[Sales]]</f>
        <v>0.1368421052631579</v>
      </c>
    </row>
    <row r="38" spans="1:20" x14ac:dyDescent="0.3">
      <c r="A38" t="s">
        <v>125</v>
      </c>
      <c r="B38" s="17">
        <v>45693</v>
      </c>
      <c r="C38" t="s">
        <v>47</v>
      </c>
      <c r="D38" t="s">
        <v>48</v>
      </c>
      <c r="E38" t="s">
        <v>38</v>
      </c>
      <c r="F38" t="s">
        <v>34</v>
      </c>
      <c r="G38" t="s">
        <v>21</v>
      </c>
      <c r="H38" t="s">
        <v>86</v>
      </c>
      <c r="I38">
        <v>3</v>
      </c>
      <c r="J38">
        <v>12000</v>
      </c>
      <c r="K38">
        <v>0.15</v>
      </c>
      <c r="L38">
        <v>30600</v>
      </c>
      <c r="M38">
        <v>25500</v>
      </c>
      <c r="N38">
        <v>5100</v>
      </c>
      <c r="O38" t="s">
        <v>97</v>
      </c>
      <c r="P38" t="s">
        <v>24</v>
      </c>
      <c r="Q38" t="str">
        <f>TEXT(Table1[[#This Row],[Order_Date]],"mmm")</f>
        <v>Feb</v>
      </c>
      <c r="R38" t="b">
        <f t="shared" si="0"/>
        <v>1</v>
      </c>
      <c r="T38" s="6">
        <f>Table1[[#This Row],[Profit]]/Table1[[#This Row],[Sales]]</f>
        <v>0.16666666666666666</v>
      </c>
    </row>
    <row r="39" spans="1:20" x14ac:dyDescent="0.3">
      <c r="A39" t="s">
        <v>126</v>
      </c>
      <c r="B39" s="17">
        <v>45999</v>
      </c>
      <c r="C39" t="s">
        <v>31</v>
      </c>
      <c r="D39" t="s">
        <v>32</v>
      </c>
      <c r="E39" t="s">
        <v>44</v>
      </c>
      <c r="F39" t="s">
        <v>34</v>
      </c>
      <c r="G39" t="s">
        <v>21</v>
      </c>
      <c r="H39" t="s">
        <v>86</v>
      </c>
      <c r="I39">
        <v>1</v>
      </c>
      <c r="J39">
        <v>8000</v>
      </c>
      <c r="K39">
        <v>0</v>
      </c>
      <c r="L39">
        <v>8000</v>
      </c>
      <c r="M39">
        <v>5600</v>
      </c>
      <c r="N39">
        <v>2400</v>
      </c>
      <c r="O39" t="s">
        <v>23</v>
      </c>
      <c r="P39" t="s">
        <v>24</v>
      </c>
      <c r="Q39" t="str">
        <f>TEXT(Table1[[#This Row],[Order_Date]],"mmm")</f>
        <v>Dec</v>
      </c>
      <c r="R39" t="b">
        <f t="shared" si="0"/>
        <v>1</v>
      </c>
      <c r="T39" s="6">
        <f>Table1[[#This Row],[Profit]]/Table1[[#This Row],[Sales]]</f>
        <v>0.3</v>
      </c>
    </row>
    <row r="40" spans="1:20" x14ac:dyDescent="0.3">
      <c r="A40" t="s">
        <v>127</v>
      </c>
      <c r="B40" s="17">
        <v>45797</v>
      </c>
      <c r="C40" t="s">
        <v>128</v>
      </c>
      <c r="D40" t="s">
        <v>129</v>
      </c>
      <c r="E40" t="s">
        <v>85</v>
      </c>
      <c r="F40" t="s">
        <v>78</v>
      </c>
      <c r="G40" t="s">
        <v>40</v>
      </c>
      <c r="H40" t="s">
        <v>41</v>
      </c>
      <c r="I40">
        <v>2</v>
      </c>
      <c r="J40">
        <v>900</v>
      </c>
      <c r="K40">
        <v>0.05</v>
      </c>
      <c r="L40">
        <v>1710</v>
      </c>
      <c r="M40">
        <v>1000</v>
      </c>
      <c r="N40">
        <v>710</v>
      </c>
      <c r="O40" t="s">
        <v>51</v>
      </c>
      <c r="P40" t="s">
        <v>42</v>
      </c>
      <c r="Q40" t="str">
        <f>TEXT(Table1[[#This Row],[Order_Date]],"mmm")</f>
        <v>May</v>
      </c>
      <c r="R40" t="b">
        <f t="shared" si="0"/>
        <v>1</v>
      </c>
      <c r="T40" s="6">
        <f>Table1[[#This Row],[Profit]]/Table1[[#This Row],[Sales]]</f>
        <v>0.41520467836257308</v>
      </c>
    </row>
    <row r="41" spans="1:20" x14ac:dyDescent="0.3">
      <c r="A41" t="s">
        <v>130</v>
      </c>
      <c r="B41" s="17">
        <v>45684</v>
      </c>
      <c r="C41" t="s">
        <v>119</v>
      </c>
      <c r="D41" t="s">
        <v>120</v>
      </c>
      <c r="E41" t="s">
        <v>77</v>
      </c>
      <c r="F41" t="s">
        <v>78</v>
      </c>
      <c r="G41" t="s">
        <v>40</v>
      </c>
      <c r="H41" t="s">
        <v>41</v>
      </c>
      <c r="I41">
        <v>4</v>
      </c>
      <c r="J41">
        <v>1800</v>
      </c>
      <c r="K41">
        <v>0</v>
      </c>
      <c r="L41">
        <v>7200</v>
      </c>
      <c r="M41">
        <v>4400</v>
      </c>
      <c r="N41">
        <v>2800</v>
      </c>
      <c r="O41" t="s">
        <v>97</v>
      </c>
      <c r="P41" t="s">
        <v>24</v>
      </c>
      <c r="Q41" t="str">
        <f>TEXT(Table1[[#This Row],[Order_Date]],"mmm")</f>
        <v>Jan</v>
      </c>
      <c r="R41" t="b">
        <f t="shared" si="0"/>
        <v>1</v>
      </c>
      <c r="T41" s="6">
        <f>Table1[[#This Row],[Profit]]/Table1[[#This Row],[Sales]]</f>
        <v>0.3888888888888889</v>
      </c>
    </row>
    <row r="42" spans="1:20" x14ac:dyDescent="0.3">
      <c r="A42" t="s">
        <v>131</v>
      </c>
      <c r="B42" s="17">
        <v>45984</v>
      </c>
      <c r="C42" t="s">
        <v>132</v>
      </c>
      <c r="D42" t="s">
        <v>133</v>
      </c>
      <c r="E42" t="s">
        <v>55</v>
      </c>
      <c r="F42" t="s">
        <v>20</v>
      </c>
      <c r="G42" t="s">
        <v>35</v>
      </c>
      <c r="H42" t="s">
        <v>36</v>
      </c>
      <c r="I42">
        <v>4</v>
      </c>
      <c r="J42">
        <v>2500</v>
      </c>
      <c r="K42">
        <v>0</v>
      </c>
      <c r="L42">
        <v>10000</v>
      </c>
      <c r="M42">
        <v>6800</v>
      </c>
      <c r="N42">
        <v>3200</v>
      </c>
      <c r="O42" t="s">
        <v>23</v>
      </c>
      <c r="P42" t="s">
        <v>24</v>
      </c>
      <c r="Q42" t="str">
        <f>TEXT(Table1[[#This Row],[Order_Date]],"mmm")</f>
        <v>Nov</v>
      </c>
      <c r="R42" t="b">
        <f t="shared" si="0"/>
        <v>1</v>
      </c>
      <c r="T42" s="6">
        <f>Table1[[#This Row],[Profit]]/Table1[[#This Row],[Sales]]</f>
        <v>0.32</v>
      </c>
    </row>
    <row r="43" spans="1:20" x14ac:dyDescent="0.3">
      <c r="A43" t="s">
        <v>134</v>
      </c>
      <c r="B43" s="17">
        <v>46011</v>
      </c>
      <c r="C43" t="s">
        <v>135</v>
      </c>
      <c r="D43" t="s">
        <v>136</v>
      </c>
      <c r="E43" t="s">
        <v>116</v>
      </c>
      <c r="F43" t="s">
        <v>78</v>
      </c>
      <c r="G43" t="s">
        <v>40</v>
      </c>
      <c r="H43" t="s">
        <v>45</v>
      </c>
      <c r="I43">
        <v>1</v>
      </c>
      <c r="J43">
        <v>3000</v>
      </c>
      <c r="K43">
        <v>0.15</v>
      </c>
      <c r="L43">
        <v>2550</v>
      </c>
      <c r="M43">
        <v>1900</v>
      </c>
      <c r="N43">
        <v>650</v>
      </c>
      <c r="O43" t="s">
        <v>58</v>
      </c>
      <c r="P43" t="s">
        <v>42</v>
      </c>
      <c r="Q43" t="str">
        <f>TEXT(Table1[[#This Row],[Order_Date]],"mmm")</f>
        <v>Dec</v>
      </c>
      <c r="R43" t="b">
        <f t="shared" si="0"/>
        <v>1</v>
      </c>
      <c r="T43" s="6">
        <f>Table1[[#This Row],[Profit]]/Table1[[#This Row],[Sales]]</f>
        <v>0.25490196078431371</v>
      </c>
    </row>
    <row r="44" spans="1:20" x14ac:dyDescent="0.3">
      <c r="A44" t="s">
        <v>137</v>
      </c>
      <c r="B44" s="17">
        <v>45723</v>
      </c>
      <c r="C44" t="s">
        <v>100</v>
      </c>
      <c r="D44" t="s">
        <v>101</v>
      </c>
      <c r="E44" t="s">
        <v>44</v>
      </c>
      <c r="F44" t="s">
        <v>34</v>
      </c>
      <c r="G44" t="s">
        <v>28</v>
      </c>
      <c r="H44" t="s">
        <v>73</v>
      </c>
      <c r="I44">
        <v>3</v>
      </c>
      <c r="J44">
        <v>8000</v>
      </c>
      <c r="K44">
        <v>0</v>
      </c>
      <c r="L44">
        <v>24000</v>
      </c>
      <c r="M44">
        <v>16800</v>
      </c>
      <c r="N44">
        <v>7200</v>
      </c>
      <c r="O44" t="s">
        <v>58</v>
      </c>
      <c r="P44" t="s">
        <v>24</v>
      </c>
      <c r="Q44" t="str">
        <f>TEXT(Table1[[#This Row],[Order_Date]],"mmm")</f>
        <v>Mar</v>
      </c>
      <c r="R44" t="b">
        <f t="shared" si="0"/>
        <v>1</v>
      </c>
      <c r="T44" s="6">
        <f>Table1[[#This Row],[Profit]]/Table1[[#This Row],[Sales]]</f>
        <v>0.3</v>
      </c>
    </row>
    <row r="45" spans="1:20" x14ac:dyDescent="0.3">
      <c r="A45" t="s">
        <v>138</v>
      </c>
      <c r="B45" s="17">
        <v>45839</v>
      </c>
      <c r="C45" t="s">
        <v>31</v>
      </c>
      <c r="D45" t="s">
        <v>32</v>
      </c>
      <c r="E45" t="s">
        <v>60</v>
      </c>
      <c r="F45" t="s">
        <v>50</v>
      </c>
      <c r="G45" t="s">
        <v>21</v>
      </c>
      <c r="H45" t="s">
        <v>22</v>
      </c>
      <c r="I45">
        <v>4</v>
      </c>
      <c r="J45">
        <v>6000</v>
      </c>
      <c r="K45">
        <v>0</v>
      </c>
      <c r="L45">
        <v>24000</v>
      </c>
      <c r="M45">
        <v>16800</v>
      </c>
      <c r="N45">
        <v>7200</v>
      </c>
      <c r="O45" t="s">
        <v>58</v>
      </c>
      <c r="P45" t="s">
        <v>42</v>
      </c>
      <c r="Q45" t="str">
        <f>TEXT(Table1[[#This Row],[Order_Date]],"mmm")</f>
        <v>Jul</v>
      </c>
      <c r="R45" t="b">
        <f t="shared" si="0"/>
        <v>1</v>
      </c>
      <c r="T45" s="6">
        <f>Table1[[#This Row],[Profit]]/Table1[[#This Row],[Sales]]</f>
        <v>0.3</v>
      </c>
    </row>
    <row r="46" spans="1:20" x14ac:dyDescent="0.3">
      <c r="A46" t="s">
        <v>139</v>
      </c>
      <c r="B46" s="17">
        <v>45670</v>
      </c>
      <c r="C46" t="s">
        <v>71</v>
      </c>
      <c r="D46" t="s">
        <v>72</v>
      </c>
      <c r="E46" t="s">
        <v>67</v>
      </c>
      <c r="F46" t="s">
        <v>50</v>
      </c>
      <c r="G46" t="s">
        <v>35</v>
      </c>
      <c r="H46" t="s">
        <v>36</v>
      </c>
      <c r="I46">
        <v>3</v>
      </c>
      <c r="J46">
        <v>4500</v>
      </c>
      <c r="K46">
        <v>0</v>
      </c>
      <c r="L46">
        <v>13500</v>
      </c>
      <c r="M46">
        <v>9300</v>
      </c>
      <c r="N46">
        <v>4200</v>
      </c>
      <c r="O46" t="s">
        <v>97</v>
      </c>
      <c r="P46" t="s">
        <v>24</v>
      </c>
      <c r="Q46" t="str">
        <f>TEXT(Table1[[#This Row],[Order_Date]],"mmm")</f>
        <v>Jan</v>
      </c>
      <c r="R46" t="b">
        <f t="shared" si="0"/>
        <v>1</v>
      </c>
      <c r="T46" s="6">
        <f>Table1[[#This Row],[Profit]]/Table1[[#This Row],[Sales]]</f>
        <v>0.31111111111111112</v>
      </c>
    </row>
    <row r="47" spans="1:20" x14ac:dyDescent="0.3">
      <c r="A47" t="s">
        <v>140</v>
      </c>
      <c r="B47" s="17">
        <v>46017</v>
      </c>
      <c r="C47" t="s">
        <v>17</v>
      </c>
      <c r="D47" t="s">
        <v>18</v>
      </c>
      <c r="E47" t="s">
        <v>33</v>
      </c>
      <c r="F47" t="s">
        <v>34</v>
      </c>
      <c r="G47" t="s">
        <v>35</v>
      </c>
      <c r="H47" t="s">
        <v>69</v>
      </c>
      <c r="I47">
        <v>1</v>
      </c>
      <c r="J47">
        <v>7000</v>
      </c>
      <c r="K47">
        <v>0</v>
      </c>
      <c r="L47">
        <v>7000</v>
      </c>
      <c r="M47">
        <v>4800</v>
      </c>
      <c r="N47">
        <v>2200</v>
      </c>
      <c r="O47" t="s">
        <v>51</v>
      </c>
      <c r="P47" t="s">
        <v>42</v>
      </c>
      <c r="Q47" t="str">
        <f>TEXT(Table1[[#This Row],[Order_Date]],"mmm")</f>
        <v>Dec</v>
      </c>
      <c r="R47" t="b">
        <f t="shared" si="0"/>
        <v>1</v>
      </c>
      <c r="T47" s="6">
        <f>Table1[[#This Row],[Profit]]/Table1[[#This Row],[Sales]]</f>
        <v>0.31428571428571428</v>
      </c>
    </row>
    <row r="48" spans="1:20" x14ac:dyDescent="0.3">
      <c r="A48" t="s">
        <v>141</v>
      </c>
      <c r="B48" s="17">
        <v>45814</v>
      </c>
      <c r="C48" t="s">
        <v>47</v>
      </c>
      <c r="D48" t="s">
        <v>48</v>
      </c>
      <c r="E48" t="s">
        <v>65</v>
      </c>
      <c r="F48" t="s">
        <v>20</v>
      </c>
      <c r="G48" t="s">
        <v>21</v>
      </c>
      <c r="H48" t="s">
        <v>86</v>
      </c>
      <c r="I48">
        <v>1</v>
      </c>
      <c r="J48">
        <v>5000</v>
      </c>
      <c r="K48">
        <v>0.05</v>
      </c>
      <c r="L48">
        <v>4750</v>
      </c>
      <c r="M48">
        <v>3500</v>
      </c>
      <c r="N48">
        <v>1250</v>
      </c>
      <c r="O48" t="s">
        <v>97</v>
      </c>
      <c r="P48" t="s">
        <v>24</v>
      </c>
      <c r="Q48" t="str">
        <f>TEXT(Table1[[#This Row],[Order_Date]],"mmm")</f>
        <v>Jun</v>
      </c>
      <c r="R48" t="b">
        <f t="shared" si="0"/>
        <v>1</v>
      </c>
      <c r="T48" s="6">
        <f>Table1[[#This Row],[Profit]]/Table1[[#This Row],[Sales]]</f>
        <v>0.26315789473684209</v>
      </c>
    </row>
    <row r="49" spans="1:20" x14ac:dyDescent="0.3">
      <c r="A49" t="s">
        <v>142</v>
      </c>
      <c r="B49" s="17">
        <v>45800</v>
      </c>
      <c r="C49" t="s">
        <v>53</v>
      </c>
      <c r="D49" t="s">
        <v>54</v>
      </c>
      <c r="E49" t="s">
        <v>77</v>
      </c>
      <c r="F49" t="s">
        <v>78</v>
      </c>
      <c r="G49" t="s">
        <v>35</v>
      </c>
      <c r="H49" t="s">
        <v>36</v>
      </c>
      <c r="I49">
        <v>5</v>
      </c>
      <c r="J49">
        <v>1800</v>
      </c>
      <c r="K49">
        <v>0.15</v>
      </c>
      <c r="L49">
        <v>7650</v>
      </c>
      <c r="M49">
        <v>5500</v>
      </c>
      <c r="N49">
        <v>2150</v>
      </c>
      <c r="O49" t="s">
        <v>97</v>
      </c>
      <c r="P49" t="s">
        <v>24</v>
      </c>
      <c r="Q49" t="str">
        <f>TEXT(Table1[[#This Row],[Order_Date]],"mmm")</f>
        <v>May</v>
      </c>
      <c r="R49" t="b">
        <f t="shared" si="0"/>
        <v>1</v>
      </c>
      <c r="T49" s="6">
        <f>Table1[[#This Row],[Profit]]/Table1[[#This Row],[Sales]]</f>
        <v>0.28104575163398693</v>
      </c>
    </row>
    <row r="50" spans="1:20" x14ac:dyDescent="0.3">
      <c r="A50" t="s">
        <v>143</v>
      </c>
      <c r="B50" s="17">
        <v>45717</v>
      </c>
      <c r="C50" t="s">
        <v>132</v>
      </c>
      <c r="D50" t="s">
        <v>133</v>
      </c>
      <c r="E50" t="s">
        <v>55</v>
      </c>
      <c r="F50" t="s">
        <v>20</v>
      </c>
      <c r="G50" t="s">
        <v>40</v>
      </c>
      <c r="H50" t="s">
        <v>41</v>
      </c>
      <c r="I50">
        <v>5</v>
      </c>
      <c r="J50">
        <v>2500</v>
      </c>
      <c r="K50">
        <v>0</v>
      </c>
      <c r="L50">
        <v>12500</v>
      </c>
      <c r="M50">
        <v>8500</v>
      </c>
      <c r="N50">
        <v>4000</v>
      </c>
      <c r="O50" t="s">
        <v>51</v>
      </c>
      <c r="P50" t="s">
        <v>42</v>
      </c>
      <c r="Q50" t="str">
        <f>TEXT(Table1[[#This Row],[Order_Date]],"mmm")</f>
        <v>Mar</v>
      </c>
      <c r="R50" t="b">
        <f t="shared" si="0"/>
        <v>1</v>
      </c>
      <c r="T50" s="6">
        <f>Table1[[#This Row],[Profit]]/Table1[[#This Row],[Sales]]</f>
        <v>0.32</v>
      </c>
    </row>
    <row r="51" spans="1:20" x14ac:dyDescent="0.3">
      <c r="A51" t="s">
        <v>144</v>
      </c>
      <c r="B51" s="17">
        <v>45818</v>
      </c>
      <c r="C51" t="s">
        <v>26</v>
      </c>
      <c r="D51" t="s">
        <v>27</v>
      </c>
      <c r="E51" t="s">
        <v>85</v>
      </c>
      <c r="F51" t="s">
        <v>78</v>
      </c>
      <c r="G51" t="s">
        <v>28</v>
      </c>
      <c r="H51" t="s">
        <v>73</v>
      </c>
      <c r="I51">
        <v>5</v>
      </c>
      <c r="J51">
        <v>900</v>
      </c>
      <c r="K51">
        <v>0.15</v>
      </c>
      <c r="L51">
        <v>3825</v>
      </c>
      <c r="M51">
        <v>2500</v>
      </c>
      <c r="N51">
        <v>1325</v>
      </c>
      <c r="O51" t="s">
        <v>58</v>
      </c>
      <c r="P51" t="s">
        <v>42</v>
      </c>
      <c r="Q51" t="str">
        <f>TEXT(Table1[[#This Row],[Order_Date]],"mmm")</f>
        <v>Jun</v>
      </c>
      <c r="R51" t="b">
        <f t="shared" si="0"/>
        <v>1</v>
      </c>
      <c r="T51" s="6">
        <f>Table1[[#This Row],[Profit]]/Table1[[#This Row],[Sales]]</f>
        <v>0.34640522875816993</v>
      </c>
    </row>
    <row r="52" spans="1:20" x14ac:dyDescent="0.3">
      <c r="A52" t="s">
        <v>145</v>
      </c>
      <c r="B52" s="17">
        <v>45680</v>
      </c>
      <c r="C52" t="s">
        <v>26</v>
      </c>
      <c r="D52" t="s">
        <v>27</v>
      </c>
      <c r="E52" t="s">
        <v>19</v>
      </c>
      <c r="F52" t="s">
        <v>20</v>
      </c>
      <c r="G52" t="s">
        <v>21</v>
      </c>
      <c r="H52" t="s">
        <v>86</v>
      </c>
      <c r="I52">
        <v>5</v>
      </c>
      <c r="J52">
        <v>55000</v>
      </c>
      <c r="K52">
        <v>0.1</v>
      </c>
      <c r="L52">
        <v>247500</v>
      </c>
      <c r="M52">
        <v>225000</v>
      </c>
      <c r="N52">
        <v>22500</v>
      </c>
      <c r="O52" t="s">
        <v>23</v>
      </c>
      <c r="P52" t="s">
        <v>42</v>
      </c>
      <c r="Q52" t="str">
        <f>TEXT(Table1[[#This Row],[Order_Date]],"mmm")</f>
        <v>Jan</v>
      </c>
      <c r="R52" t="b">
        <f t="shared" si="0"/>
        <v>1</v>
      </c>
      <c r="T52" s="6">
        <f>Table1[[#This Row],[Profit]]/Table1[[#This Row],[Sales]]</f>
        <v>9.0909090909090912E-2</v>
      </c>
    </row>
    <row r="53" spans="1:20" x14ac:dyDescent="0.3">
      <c r="A53" t="s">
        <v>146</v>
      </c>
      <c r="B53" s="17">
        <v>45977</v>
      </c>
      <c r="C53" t="s">
        <v>63</v>
      </c>
      <c r="D53" t="s">
        <v>64</v>
      </c>
      <c r="E53" t="s">
        <v>77</v>
      </c>
      <c r="F53" t="s">
        <v>78</v>
      </c>
      <c r="G53" t="s">
        <v>40</v>
      </c>
      <c r="H53" t="s">
        <v>45</v>
      </c>
      <c r="I53">
        <v>1</v>
      </c>
      <c r="J53">
        <v>1800</v>
      </c>
      <c r="K53">
        <v>0.05</v>
      </c>
      <c r="L53">
        <v>1710</v>
      </c>
      <c r="M53">
        <v>1100</v>
      </c>
      <c r="N53">
        <v>610</v>
      </c>
      <c r="O53" t="s">
        <v>51</v>
      </c>
      <c r="P53" t="s">
        <v>42</v>
      </c>
      <c r="Q53" t="str">
        <f>TEXT(Table1[[#This Row],[Order_Date]],"mmm")</f>
        <v>Nov</v>
      </c>
      <c r="R53" t="b">
        <f t="shared" si="0"/>
        <v>1</v>
      </c>
      <c r="T53" s="6">
        <f>Table1[[#This Row],[Profit]]/Table1[[#This Row],[Sales]]</f>
        <v>0.35672514619883039</v>
      </c>
    </row>
    <row r="54" spans="1:20" x14ac:dyDescent="0.3">
      <c r="A54" t="s">
        <v>147</v>
      </c>
      <c r="B54" s="17">
        <v>45864</v>
      </c>
      <c r="C54" t="s">
        <v>128</v>
      </c>
      <c r="D54" t="s">
        <v>129</v>
      </c>
      <c r="E54" t="s">
        <v>116</v>
      </c>
      <c r="F54" t="s">
        <v>78</v>
      </c>
      <c r="G54" t="s">
        <v>21</v>
      </c>
      <c r="H54" t="s">
        <v>86</v>
      </c>
      <c r="I54">
        <v>2</v>
      </c>
      <c r="J54">
        <v>3000</v>
      </c>
      <c r="K54">
        <v>0.1</v>
      </c>
      <c r="L54">
        <v>5400</v>
      </c>
      <c r="M54">
        <v>3800</v>
      </c>
      <c r="N54">
        <v>1600</v>
      </c>
      <c r="O54" t="s">
        <v>58</v>
      </c>
      <c r="P54" t="s">
        <v>42</v>
      </c>
      <c r="Q54" t="str">
        <f>TEXT(Table1[[#This Row],[Order_Date]],"mmm")</f>
        <v>Jul</v>
      </c>
      <c r="R54" t="b">
        <f t="shared" si="0"/>
        <v>1</v>
      </c>
      <c r="T54" s="6">
        <f>Table1[[#This Row],[Profit]]/Table1[[#This Row],[Sales]]</f>
        <v>0.29629629629629628</v>
      </c>
    </row>
    <row r="55" spans="1:20" x14ac:dyDescent="0.3">
      <c r="A55" t="s">
        <v>148</v>
      </c>
      <c r="B55" s="17">
        <v>45865</v>
      </c>
      <c r="C55" t="s">
        <v>31</v>
      </c>
      <c r="D55" t="s">
        <v>32</v>
      </c>
      <c r="E55" t="s">
        <v>60</v>
      </c>
      <c r="F55" t="s">
        <v>50</v>
      </c>
      <c r="G55" t="s">
        <v>40</v>
      </c>
      <c r="H55" t="s">
        <v>61</v>
      </c>
      <c r="I55">
        <v>1</v>
      </c>
      <c r="J55">
        <v>6000</v>
      </c>
      <c r="K55">
        <v>0</v>
      </c>
      <c r="L55">
        <v>6000</v>
      </c>
      <c r="M55">
        <v>4200</v>
      </c>
      <c r="N55">
        <v>1800</v>
      </c>
      <c r="O55" t="s">
        <v>51</v>
      </c>
      <c r="P55" t="s">
        <v>42</v>
      </c>
      <c r="Q55" t="str">
        <f>TEXT(Table1[[#This Row],[Order_Date]],"mmm")</f>
        <v>Jul</v>
      </c>
      <c r="R55" t="b">
        <f t="shared" si="0"/>
        <v>1</v>
      </c>
      <c r="T55" s="6">
        <f>Table1[[#This Row],[Profit]]/Table1[[#This Row],[Sales]]</f>
        <v>0.3</v>
      </c>
    </row>
    <row r="56" spans="1:20" x14ac:dyDescent="0.3">
      <c r="A56" t="s">
        <v>149</v>
      </c>
      <c r="B56" s="17">
        <v>45896</v>
      </c>
      <c r="C56" t="s">
        <v>107</v>
      </c>
      <c r="D56" t="s">
        <v>108</v>
      </c>
      <c r="E56" t="s">
        <v>80</v>
      </c>
      <c r="F56" t="s">
        <v>81</v>
      </c>
      <c r="G56" t="s">
        <v>35</v>
      </c>
      <c r="H56" t="s">
        <v>36</v>
      </c>
      <c r="I56">
        <v>2</v>
      </c>
      <c r="J56">
        <v>1800</v>
      </c>
      <c r="K56">
        <v>0</v>
      </c>
      <c r="L56">
        <v>3600</v>
      </c>
      <c r="M56">
        <v>2200</v>
      </c>
      <c r="N56">
        <v>1400</v>
      </c>
      <c r="O56" t="s">
        <v>23</v>
      </c>
      <c r="P56" t="s">
        <v>42</v>
      </c>
      <c r="Q56" t="str">
        <f>TEXT(Table1[[#This Row],[Order_Date]],"mmm")</f>
        <v>Aug</v>
      </c>
      <c r="R56" t="b">
        <f t="shared" si="0"/>
        <v>1</v>
      </c>
      <c r="T56" s="6">
        <f>Table1[[#This Row],[Profit]]/Table1[[#This Row],[Sales]]</f>
        <v>0.3888888888888889</v>
      </c>
    </row>
    <row r="57" spans="1:20" x14ac:dyDescent="0.3">
      <c r="A57" t="s">
        <v>150</v>
      </c>
      <c r="B57" s="17">
        <v>45921</v>
      </c>
      <c r="C57" t="s">
        <v>93</v>
      </c>
      <c r="D57" t="s">
        <v>94</v>
      </c>
      <c r="E57" t="s">
        <v>38</v>
      </c>
      <c r="F57" t="s">
        <v>34</v>
      </c>
      <c r="G57" t="s">
        <v>21</v>
      </c>
      <c r="H57" t="s">
        <v>95</v>
      </c>
      <c r="I57">
        <v>1</v>
      </c>
      <c r="J57">
        <v>12000</v>
      </c>
      <c r="K57">
        <v>0.05</v>
      </c>
      <c r="L57">
        <v>11400</v>
      </c>
      <c r="M57">
        <v>8500</v>
      </c>
      <c r="N57">
        <v>2900</v>
      </c>
      <c r="O57" t="s">
        <v>58</v>
      </c>
      <c r="P57" t="s">
        <v>24</v>
      </c>
      <c r="Q57" t="str">
        <f>TEXT(Table1[[#This Row],[Order_Date]],"mmm")</f>
        <v>Sep</v>
      </c>
      <c r="R57" t="b">
        <f t="shared" si="0"/>
        <v>1</v>
      </c>
      <c r="T57" s="6">
        <f>Table1[[#This Row],[Profit]]/Table1[[#This Row],[Sales]]</f>
        <v>0.25438596491228072</v>
      </c>
    </row>
    <row r="58" spans="1:20" x14ac:dyDescent="0.3">
      <c r="A58" t="s">
        <v>151</v>
      </c>
      <c r="B58" s="17">
        <v>45733</v>
      </c>
      <c r="C58" t="s">
        <v>75</v>
      </c>
      <c r="D58" t="s">
        <v>76</v>
      </c>
      <c r="E58" t="s">
        <v>19</v>
      </c>
      <c r="F58" t="s">
        <v>20</v>
      </c>
      <c r="G58" t="s">
        <v>35</v>
      </c>
      <c r="H58" t="s">
        <v>36</v>
      </c>
      <c r="I58">
        <v>2</v>
      </c>
      <c r="J58">
        <v>55000</v>
      </c>
      <c r="K58">
        <v>0</v>
      </c>
      <c r="L58">
        <v>110000</v>
      </c>
      <c r="M58">
        <v>90000</v>
      </c>
      <c r="N58">
        <v>20000</v>
      </c>
      <c r="O58" t="s">
        <v>51</v>
      </c>
      <c r="P58" t="s">
        <v>42</v>
      </c>
      <c r="Q58" t="str">
        <f>TEXT(Table1[[#This Row],[Order_Date]],"mmm")</f>
        <v>Mar</v>
      </c>
      <c r="R58" t="b">
        <f t="shared" si="0"/>
        <v>1</v>
      </c>
      <c r="T58" s="6">
        <f>Table1[[#This Row],[Profit]]/Table1[[#This Row],[Sales]]</f>
        <v>0.18181818181818182</v>
      </c>
    </row>
    <row r="59" spans="1:20" x14ac:dyDescent="0.3">
      <c r="A59" t="s">
        <v>152</v>
      </c>
      <c r="B59" s="17">
        <v>45980</v>
      </c>
      <c r="C59" t="s">
        <v>113</v>
      </c>
      <c r="D59" t="s">
        <v>114</v>
      </c>
      <c r="E59" t="s">
        <v>65</v>
      </c>
      <c r="F59" t="s">
        <v>20</v>
      </c>
      <c r="G59" t="s">
        <v>35</v>
      </c>
      <c r="H59" t="s">
        <v>57</v>
      </c>
      <c r="I59">
        <v>4</v>
      </c>
      <c r="J59">
        <v>5000</v>
      </c>
      <c r="K59">
        <v>0</v>
      </c>
      <c r="L59">
        <v>20000</v>
      </c>
      <c r="M59">
        <v>14000</v>
      </c>
      <c r="N59">
        <v>6000</v>
      </c>
      <c r="O59" t="s">
        <v>58</v>
      </c>
      <c r="P59" t="s">
        <v>24</v>
      </c>
      <c r="Q59" t="str">
        <f>TEXT(Table1[[#This Row],[Order_Date]],"mmm")</f>
        <v>Nov</v>
      </c>
      <c r="R59" t="b">
        <f t="shared" si="0"/>
        <v>1</v>
      </c>
      <c r="T59" s="6">
        <f>Table1[[#This Row],[Profit]]/Table1[[#This Row],[Sales]]</f>
        <v>0.3</v>
      </c>
    </row>
    <row r="60" spans="1:20" x14ac:dyDescent="0.3">
      <c r="A60" t="s">
        <v>153</v>
      </c>
      <c r="B60" s="17">
        <v>45712</v>
      </c>
      <c r="C60" t="s">
        <v>26</v>
      </c>
      <c r="D60" t="s">
        <v>27</v>
      </c>
      <c r="E60" t="s">
        <v>65</v>
      </c>
      <c r="F60" t="s">
        <v>20</v>
      </c>
      <c r="G60" t="s">
        <v>35</v>
      </c>
      <c r="H60" t="s">
        <v>69</v>
      </c>
      <c r="I60">
        <v>2</v>
      </c>
      <c r="J60">
        <v>5000</v>
      </c>
      <c r="K60">
        <v>0.15</v>
      </c>
      <c r="L60">
        <v>8500</v>
      </c>
      <c r="M60">
        <v>7000</v>
      </c>
      <c r="N60">
        <v>1500</v>
      </c>
      <c r="O60" t="s">
        <v>58</v>
      </c>
      <c r="P60" t="s">
        <v>24</v>
      </c>
      <c r="Q60" t="str">
        <f>TEXT(Table1[[#This Row],[Order_Date]],"mmm")</f>
        <v>Feb</v>
      </c>
      <c r="R60" t="b">
        <f t="shared" si="0"/>
        <v>1</v>
      </c>
      <c r="T60" s="6">
        <f>Table1[[#This Row],[Profit]]/Table1[[#This Row],[Sales]]</f>
        <v>0.17647058823529413</v>
      </c>
    </row>
    <row r="61" spans="1:20" x14ac:dyDescent="0.3">
      <c r="A61" t="s">
        <v>154</v>
      </c>
      <c r="B61" s="17">
        <v>45891</v>
      </c>
      <c r="C61" t="s">
        <v>135</v>
      </c>
      <c r="D61" t="s">
        <v>136</v>
      </c>
      <c r="E61" t="s">
        <v>49</v>
      </c>
      <c r="F61" t="s">
        <v>50</v>
      </c>
      <c r="G61" t="s">
        <v>40</v>
      </c>
      <c r="H61" t="s">
        <v>61</v>
      </c>
      <c r="I61">
        <v>4</v>
      </c>
      <c r="J61">
        <v>3500</v>
      </c>
      <c r="K61">
        <v>0.15</v>
      </c>
      <c r="L61">
        <v>11900</v>
      </c>
      <c r="M61">
        <v>9600</v>
      </c>
      <c r="N61">
        <v>2300</v>
      </c>
      <c r="O61" t="s">
        <v>51</v>
      </c>
      <c r="P61" t="s">
        <v>42</v>
      </c>
      <c r="Q61" t="str">
        <f>TEXT(Table1[[#This Row],[Order_Date]],"mmm")</f>
        <v>Aug</v>
      </c>
      <c r="R61" t="b">
        <f t="shared" si="0"/>
        <v>1</v>
      </c>
      <c r="T61" s="6">
        <f>Table1[[#This Row],[Profit]]/Table1[[#This Row],[Sales]]</f>
        <v>0.19327731092436976</v>
      </c>
    </row>
    <row r="62" spans="1:20" x14ac:dyDescent="0.3">
      <c r="A62" t="s">
        <v>155</v>
      </c>
      <c r="B62" s="17">
        <v>45739</v>
      </c>
      <c r="C62" t="s">
        <v>90</v>
      </c>
      <c r="D62" t="s">
        <v>91</v>
      </c>
      <c r="E62" t="s">
        <v>80</v>
      </c>
      <c r="F62" t="s">
        <v>81</v>
      </c>
      <c r="G62" t="s">
        <v>21</v>
      </c>
      <c r="H62" t="s">
        <v>95</v>
      </c>
      <c r="I62">
        <v>3</v>
      </c>
      <c r="J62">
        <v>1800</v>
      </c>
      <c r="K62">
        <v>0.05</v>
      </c>
      <c r="L62">
        <v>5130</v>
      </c>
      <c r="M62">
        <v>3300</v>
      </c>
      <c r="N62">
        <v>1830</v>
      </c>
      <c r="O62" t="s">
        <v>51</v>
      </c>
      <c r="P62" t="s">
        <v>24</v>
      </c>
      <c r="Q62" t="str">
        <f>TEXT(Table1[[#This Row],[Order_Date]],"mmm")</f>
        <v>Mar</v>
      </c>
      <c r="R62" t="b">
        <f t="shared" si="0"/>
        <v>1</v>
      </c>
      <c r="T62" s="6">
        <f>Table1[[#This Row],[Profit]]/Table1[[#This Row],[Sales]]</f>
        <v>0.35672514619883039</v>
      </c>
    </row>
    <row r="63" spans="1:20" x14ac:dyDescent="0.3">
      <c r="A63" t="s">
        <v>156</v>
      </c>
      <c r="B63" s="17">
        <v>45798</v>
      </c>
      <c r="C63" t="s">
        <v>107</v>
      </c>
      <c r="D63" t="s">
        <v>108</v>
      </c>
      <c r="E63" t="s">
        <v>88</v>
      </c>
      <c r="F63" t="s">
        <v>20</v>
      </c>
      <c r="G63" t="s">
        <v>21</v>
      </c>
      <c r="H63" t="s">
        <v>86</v>
      </c>
      <c r="I63">
        <v>3</v>
      </c>
      <c r="J63">
        <v>25000</v>
      </c>
      <c r="K63">
        <v>0.05</v>
      </c>
      <c r="L63">
        <v>71250</v>
      </c>
      <c r="M63">
        <v>61500</v>
      </c>
      <c r="N63">
        <v>9750</v>
      </c>
      <c r="O63" t="s">
        <v>97</v>
      </c>
      <c r="P63" t="s">
        <v>24</v>
      </c>
      <c r="Q63" t="str">
        <f>TEXT(Table1[[#This Row],[Order_Date]],"mmm")</f>
        <v>May</v>
      </c>
      <c r="R63" t="b">
        <f t="shared" si="0"/>
        <v>1</v>
      </c>
      <c r="T63" s="6">
        <f>Table1[[#This Row],[Profit]]/Table1[[#This Row],[Sales]]</f>
        <v>0.1368421052631579</v>
      </c>
    </row>
    <row r="64" spans="1:20" x14ac:dyDescent="0.3">
      <c r="A64" t="s">
        <v>157</v>
      </c>
      <c r="B64" s="17">
        <v>45728</v>
      </c>
      <c r="C64" t="s">
        <v>135</v>
      </c>
      <c r="D64" t="s">
        <v>136</v>
      </c>
      <c r="E64" t="s">
        <v>65</v>
      </c>
      <c r="F64" t="s">
        <v>20</v>
      </c>
      <c r="G64" t="s">
        <v>21</v>
      </c>
      <c r="H64" t="s">
        <v>95</v>
      </c>
      <c r="I64">
        <v>4</v>
      </c>
      <c r="J64">
        <v>5000</v>
      </c>
      <c r="K64">
        <v>0</v>
      </c>
      <c r="L64">
        <v>20000</v>
      </c>
      <c r="M64">
        <v>14000</v>
      </c>
      <c r="N64">
        <v>6000</v>
      </c>
      <c r="O64" t="s">
        <v>23</v>
      </c>
      <c r="P64" t="s">
        <v>42</v>
      </c>
      <c r="Q64" t="str">
        <f>TEXT(Table1[[#This Row],[Order_Date]],"mmm")</f>
        <v>Mar</v>
      </c>
      <c r="R64" t="b">
        <f t="shared" si="0"/>
        <v>1</v>
      </c>
      <c r="T64" s="6">
        <f>Table1[[#This Row],[Profit]]/Table1[[#This Row],[Sales]]</f>
        <v>0.3</v>
      </c>
    </row>
    <row r="65" spans="1:20" x14ac:dyDescent="0.3">
      <c r="A65" t="s">
        <v>158</v>
      </c>
      <c r="B65" s="17">
        <v>45866</v>
      </c>
      <c r="C65" t="s">
        <v>63</v>
      </c>
      <c r="D65" t="s">
        <v>64</v>
      </c>
      <c r="E65" t="s">
        <v>116</v>
      </c>
      <c r="F65" t="s">
        <v>78</v>
      </c>
      <c r="G65" t="s">
        <v>35</v>
      </c>
      <c r="H65" t="s">
        <v>69</v>
      </c>
      <c r="I65">
        <v>4</v>
      </c>
      <c r="J65">
        <v>3000</v>
      </c>
      <c r="K65">
        <v>0</v>
      </c>
      <c r="L65">
        <v>12000</v>
      </c>
      <c r="M65">
        <v>7600</v>
      </c>
      <c r="N65">
        <v>4400</v>
      </c>
      <c r="O65" t="s">
        <v>51</v>
      </c>
      <c r="P65" t="s">
        <v>42</v>
      </c>
      <c r="Q65" t="str">
        <f>TEXT(Table1[[#This Row],[Order_Date]],"mmm")</f>
        <v>Jul</v>
      </c>
      <c r="R65" t="b">
        <f t="shared" si="0"/>
        <v>1</v>
      </c>
      <c r="T65" s="6">
        <f>Table1[[#This Row],[Profit]]/Table1[[#This Row],[Sales]]</f>
        <v>0.36666666666666664</v>
      </c>
    </row>
    <row r="66" spans="1:20" x14ac:dyDescent="0.3">
      <c r="A66" t="s">
        <v>159</v>
      </c>
      <c r="B66" s="17">
        <v>45957</v>
      </c>
      <c r="C66" t="s">
        <v>75</v>
      </c>
      <c r="D66" t="s">
        <v>76</v>
      </c>
      <c r="E66" t="s">
        <v>60</v>
      </c>
      <c r="F66" t="s">
        <v>50</v>
      </c>
      <c r="G66" t="s">
        <v>35</v>
      </c>
      <c r="H66" t="s">
        <v>57</v>
      </c>
      <c r="I66">
        <v>5</v>
      </c>
      <c r="J66">
        <v>6000</v>
      </c>
      <c r="K66">
        <v>0</v>
      </c>
      <c r="L66">
        <v>30000</v>
      </c>
      <c r="M66">
        <v>21000</v>
      </c>
      <c r="N66">
        <v>9000</v>
      </c>
      <c r="O66" t="s">
        <v>97</v>
      </c>
      <c r="P66" t="s">
        <v>42</v>
      </c>
      <c r="Q66" t="str">
        <f>TEXT(Table1[[#This Row],[Order_Date]],"mmm")</f>
        <v>Oct</v>
      </c>
      <c r="R66" t="b">
        <f t="shared" ref="R66:R129" si="1">ISNUMBER(B66)</f>
        <v>1</v>
      </c>
      <c r="T66" s="6">
        <f>Table1[[#This Row],[Profit]]/Table1[[#This Row],[Sales]]</f>
        <v>0.3</v>
      </c>
    </row>
    <row r="67" spans="1:20" x14ac:dyDescent="0.3">
      <c r="A67" t="s">
        <v>160</v>
      </c>
      <c r="B67" s="17">
        <v>45857</v>
      </c>
      <c r="C67" t="s">
        <v>26</v>
      </c>
      <c r="D67" t="s">
        <v>27</v>
      </c>
      <c r="E67" t="s">
        <v>116</v>
      </c>
      <c r="F67" t="s">
        <v>78</v>
      </c>
      <c r="G67" t="s">
        <v>21</v>
      </c>
      <c r="H67" t="s">
        <v>86</v>
      </c>
      <c r="I67">
        <v>5</v>
      </c>
      <c r="J67">
        <v>3000</v>
      </c>
      <c r="K67">
        <v>0</v>
      </c>
      <c r="L67">
        <v>15000</v>
      </c>
      <c r="M67">
        <v>9500</v>
      </c>
      <c r="N67">
        <v>5500</v>
      </c>
      <c r="O67" t="s">
        <v>97</v>
      </c>
      <c r="P67" t="s">
        <v>42</v>
      </c>
      <c r="Q67" t="str">
        <f>TEXT(Table1[[#This Row],[Order_Date]],"mmm")</f>
        <v>Jul</v>
      </c>
      <c r="R67" t="b">
        <f t="shared" si="1"/>
        <v>1</v>
      </c>
      <c r="T67" s="6">
        <f>Table1[[#This Row],[Profit]]/Table1[[#This Row],[Sales]]</f>
        <v>0.36666666666666664</v>
      </c>
    </row>
    <row r="68" spans="1:20" x14ac:dyDescent="0.3">
      <c r="A68" t="s">
        <v>161</v>
      </c>
      <c r="B68" s="17">
        <v>45906</v>
      </c>
      <c r="C68" t="s">
        <v>75</v>
      </c>
      <c r="D68" t="s">
        <v>76</v>
      </c>
      <c r="E68" t="s">
        <v>33</v>
      </c>
      <c r="F68" t="s">
        <v>34</v>
      </c>
      <c r="G68" t="s">
        <v>35</v>
      </c>
      <c r="H68" t="s">
        <v>36</v>
      </c>
      <c r="I68">
        <v>3</v>
      </c>
      <c r="J68">
        <v>7000</v>
      </c>
      <c r="K68">
        <v>0</v>
      </c>
      <c r="L68">
        <v>21000</v>
      </c>
      <c r="M68">
        <v>14400</v>
      </c>
      <c r="N68">
        <v>6600</v>
      </c>
      <c r="O68" t="s">
        <v>51</v>
      </c>
      <c r="P68" t="s">
        <v>24</v>
      </c>
      <c r="Q68" t="str">
        <f>TEXT(Table1[[#This Row],[Order_Date]],"mmm")</f>
        <v>Sep</v>
      </c>
      <c r="R68" t="b">
        <f t="shared" si="1"/>
        <v>1</v>
      </c>
      <c r="T68" s="6">
        <f>Table1[[#This Row],[Profit]]/Table1[[#This Row],[Sales]]</f>
        <v>0.31428571428571428</v>
      </c>
    </row>
    <row r="69" spans="1:20" x14ac:dyDescent="0.3">
      <c r="A69" t="s">
        <v>162</v>
      </c>
      <c r="B69" s="17">
        <v>45976</v>
      </c>
      <c r="C69" t="s">
        <v>31</v>
      </c>
      <c r="D69" t="s">
        <v>32</v>
      </c>
      <c r="E69" t="s">
        <v>19</v>
      </c>
      <c r="F69" t="s">
        <v>20</v>
      </c>
      <c r="G69" t="s">
        <v>28</v>
      </c>
      <c r="H69" t="s">
        <v>29</v>
      </c>
      <c r="I69">
        <v>4</v>
      </c>
      <c r="J69">
        <v>55000</v>
      </c>
      <c r="K69">
        <v>0.1</v>
      </c>
      <c r="L69">
        <v>198000</v>
      </c>
      <c r="M69">
        <v>180000</v>
      </c>
      <c r="N69">
        <v>18000</v>
      </c>
      <c r="O69" t="s">
        <v>58</v>
      </c>
      <c r="P69" t="s">
        <v>42</v>
      </c>
      <c r="Q69" t="str">
        <f>TEXT(Table1[[#This Row],[Order_Date]],"mmm")</f>
        <v>Nov</v>
      </c>
      <c r="R69" t="b">
        <f t="shared" si="1"/>
        <v>1</v>
      </c>
      <c r="T69" s="6">
        <f>Table1[[#This Row],[Profit]]/Table1[[#This Row],[Sales]]</f>
        <v>9.0909090909090912E-2</v>
      </c>
    </row>
    <row r="70" spans="1:20" x14ac:dyDescent="0.3">
      <c r="A70" t="s">
        <v>163</v>
      </c>
      <c r="B70" s="17">
        <v>45751</v>
      </c>
      <c r="C70" t="s">
        <v>100</v>
      </c>
      <c r="D70" t="s">
        <v>101</v>
      </c>
      <c r="E70" t="s">
        <v>44</v>
      </c>
      <c r="F70" t="s">
        <v>34</v>
      </c>
      <c r="G70" t="s">
        <v>40</v>
      </c>
      <c r="H70" t="s">
        <v>41</v>
      </c>
      <c r="I70">
        <v>4</v>
      </c>
      <c r="J70">
        <v>8000</v>
      </c>
      <c r="K70">
        <v>0.1</v>
      </c>
      <c r="L70">
        <v>28800</v>
      </c>
      <c r="M70">
        <v>22400</v>
      </c>
      <c r="N70">
        <v>6400</v>
      </c>
      <c r="O70" t="s">
        <v>97</v>
      </c>
      <c r="P70" t="s">
        <v>42</v>
      </c>
      <c r="Q70" t="str">
        <f>TEXT(Table1[[#This Row],[Order_Date]],"mmm")</f>
        <v>Apr</v>
      </c>
      <c r="R70" t="b">
        <f t="shared" si="1"/>
        <v>1</v>
      </c>
      <c r="T70" s="6">
        <f>Table1[[#This Row],[Profit]]/Table1[[#This Row],[Sales]]</f>
        <v>0.22222222222222221</v>
      </c>
    </row>
    <row r="71" spans="1:20" x14ac:dyDescent="0.3">
      <c r="A71" t="s">
        <v>164</v>
      </c>
      <c r="B71" s="17">
        <v>45852</v>
      </c>
      <c r="C71" t="s">
        <v>132</v>
      </c>
      <c r="D71" t="s">
        <v>133</v>
      </c>
      <c r="E71" t="s">
        <v>49</v>
      </c>
      <c r="F71" t="s">
        <v>50</v>
      </c>
      <c r="G71" t="s">
        <v>40</v>
      </c>
      <c r="H71" t="s">
        <v>41</v>
      </c>
      <c r="I71">
        <v>4</v>
      </c>
      <c r="J71">
        <v>3500</v>
      </c>
      <c r="K71">
        <v>0.1</v>
      </c>
      <c r="L71">
        <v>12600</v>
      </c>
      <c r="M71">
        <v>9600</v>
      </c>
      <c r="N71">
        <v>3000</v>
      </c>
      <c r="O71" t="s">
        <v>23</v>
      </c>
      <c r="P71" t="s">
        <v>24</v>
      </c>
      <c r="Q71" t="str">
        <f>TEXT(Table1[[#This Row],[Order_Date]],"mmm")</f>
        <v>Jul</v>
      </c>
      <c r="R71" t="b">
        <f t="shared" si="1"/>
        <v>1</v>
      </c>
      <c r="T71" s="6">
        <f>Table1[[#This Row],[Profit]]/Table1[[#This Row],[Sales]]</f>
        <v>0.23809523809523808</v>
      </c>
    </row>
    <row r="72" spans="1:20" x14ac:dyDescent="0.3">
      <c r="A72" t="s">
        <v>165</v>
      </c>
      <c r="B72" s="17">
        <v>45837</v>
      </c>
      <c r="C72" t="s">
        <v>47</v>
      </c>
      <c r="D72" t="s">
        <v>48</v>
      </c>
      <c r="E72" t="s">
        <v>77</v>
      </c>
      <c r="F72" t="s">
        <v>78</v>
      </c>
      <c r="G72" t="s">
        <v>28</v>
      </c>
      <c r="H72" t="s">
        <v>29</v>
      </c>
      <c r="I72">
        <v>1</v>
      </c>
      <c r="J72">
        <v>1800</v>
      </c>
      <c r="K72">
        <v>0</v>
      </c>
      <c r="L72">
        <v>1800</v>
      </c>
      <c r="M72">
        <v>1100</v>
      </c>
      <c r="N72">
        <v>700</v>
      </c>
      <c r="O72" t="s">
        <v>58</v>
      </c>
      <c r="P72" t="s">
        <v>24</v>
      </c>
      <c r="Q72" t="str">
        <f>TEXT(Table1[[#This Row],[Order_Date]],"mmm")</f>
        <v>Jun</v>
      </c>
      <c r="R72" t="b">
        <f t="shared" si="1"/>
        <v>1</v>
      </c>
      <c r="T72" s="6">
        <f>Table1[[#This Row],[Profit]]/Table1[[#This Row],[Sales]]</f>
        <v>0.3888888888888889</v>
      </c>
    </row>
    <row r="73" spans="1:20" x14ac:dyDescent="0.3">
      <c r="A73" t="s">
        <v>166</v>
      </c>
      <c r="B73" s="17">
        <v>45976</v>
      </c>
      <c r="C73" t="s">
        <v>135</v>
      </c>
      <c r="D73" t="s">
        <v>136</v>
      </c>
      <c r="E73" t="s">
        <v>65</v>
      </c>
      <c r="F73" t="s">
        <v>20</v>
      </c>
      <c r="G73" t="s">
        <v>35</v>
      </c>
      <c r="H73" t="s">
        <v>36</v>
      </c>
      <c r="I73">
        <v>2</v>
      </c>
      <c r="J73">
        <v>5000</v>
      </c>
      <c r="K73">
        <v>0</v>
      </c>
      <c r="L73">
        <v>10000</v>
      </c>
      <c r="M73">
        <v>7000</v>
      </c>
      <c r="N73">
        <v>3000</v>
      </c>
      <c r="O73" t="s">
        <v>58</v>
      </c>
      <c r="P73" t="s">
        <v>42</v>
      </c>
      <c r="Q73" t="str">
        <f>TEXT(Table1[[#This Row],[Order_Date]],"mmm")</f>
        <v>Nov</v>
      </c>
      <c r="R73" t="b">
        <f t="shared" si="1"/>
        <v>1</v>
      </c>
      <c r="T73" s="6">
        <f>Table1[[#This Row],[Profit]]/Table1[[#This Row],[Sales]]</f>
        <v>0.3</v>
      </c>
    </row>
    <row r="74" spans="1:20" x14ac:dyDescent="0.3">
      <c r="A74" t="s">
        <v>167</v>
      </c>
      <c r="B74" s="17">
        <v>46016</v>
      </c>
      <c r="C74" t="s">
        <v>132</v>
      </c>
      <c r="D74" t="s">
        <v>133</v>
      </c>
      <c r="E74" t="s">
        <v>49</v>
      </c>
      <c r="F74" t="s">
        <v>50</v>
      </c>
      <c r="G74" t="s">
        <v>21</v>
      </c>
      <c r="H74" t="s">
        <v>95</v>
      </c>
      <c r="I74">
        <v>3</v>
      </c>
      <c r="J74">
        <v>3500</v>
      </c>
      <c r="K74">
        <v>0.15</v>
      </c>
      <c r="L74">
        <v>8925</v>
      </c>
      <c r="M74">
        <v>7200</v>
      </c>
      <c r="N74">
        <v>1725</v>
      </c>
      <c r="O74" t="s">
        <v>23</v>
      </c>
      <c r="P74" t="s">
        <v>24</v>
      </c>
      <c r="Q74" t="str">
        <f>TEXT(Table1[[#This Row],[Order_Date]],"mmm")</f>
        <v>Dec</v>
      </c>
      <c r="R74" t="b">
        <f t="shared" si="1"/>
        <v>1</v>
      </c>
      <c r="T74" s="6">
        <f>Table1[[#This Row],[Profit]]/Table1[[#This Row],[Sales]]</f>
        <v>0.19327731092436976</v>
      </c>
    </row>
    <row r="75" spans="1:20" x14ac:dyDescent="0.3">
      <c r="A75" t="s">
        <v>168</v>
      </c>
      <c r="B75" s="17">
        <v>45817</v>
      </c>
      <c r="C75" t="s">
        <v>17</v>
      </c>
      <c r="D75" t="s">
        <v>18</v>
      </c>
      <c r="E75" t="s">
        <v>85</v>
      </c>
      <c r="F75" t="s">
        <v>78</v>
      </c>
      <c r="G75" t="s">
        <v>40</v>
      </c>
      <c r="H75" t="s">
        <v>45</v>
      </c>
      <c r="I75">
        <v>1</v>
      </c>
      <c r="J75">
        <v>900</v>
      </c>
      <c r="K75">
        <v>0.1</v>
      </c>
      <c r="L75">
        <v>810</v>
      </c>
      <c r="M75">
        <v>500</v>
      </c>
      <c r="N75">
        <v>310</v>
      </c>
      <c r="O75" t="s">
        <v>51</v>
      </c>
      <c r="P75" t="s">
        <v>24</v>
      </c>
      <c r="Q75" t="str">
        <f>TEXT(Table1[[#This Row],[Order_Date]],"mmm")</f>
        <v>Jun</v>
      </c>
      <c r="R75" t="b">
        <f t="shared" si="1"/>
        <v>1</v>
      </c>
      <c r="T75" s="6">
        <f>Table1[[#This Row],[Profit]]/Table1[[#This Row],[Sales]]</f>
        <v>0.38271604938271603</v>
      </c>
    </row>
    <row r="76" spans="1:20" x14ac:dyDescent="0.3">
      <c r="A76" t="s">
        <v>169</v>
      </c>
      <c r="B76" s="17">
        <v>45696</v>
      </c>
      <c r="C76" t="s">
        <v>113</v>
      </c>
      <c r="D76" t="s">
        <v>114</v>
      </c>
      <c r="E76" t="s">
        <v>67</v>
      </c>
      <c r="F76" t="s">
        <v>50</v>
      </c>
      <c r="G76" t="s">
        <v>28</v>
      </c>
      <c r="H76" t="s">
        <v>102</v>
      </c>
      <c r="I76">
        <v>2</v>
      </c>
      <c r="J76">
        <v>4500</v>
      </c>
      <c r="K76">
        <v>0.05</v>
      </c>
      <c r="L76">
        <v>8550</v>
      </c>
      <c r="M76">
        <v>6200</v>
      </c>
      <c r="N76">
        <v>2350</v>
      </c>
      <c r="O76" t="s">
        <v>23</v>
      </c>
      <c r="P76" t="s">
        <v>24</v>
      </c>
      <c r="Q76" t="str">
        <f>TEXT(Table1[[#This Row],[Order_Date]],"mmm")</f>
        <v>Feb</v>
      </c>
      <c r="R76" t="b">
        <f t="shared" si="1"/>
        <v>1</v>
      </c>
      <c r="T76" s="6">
        <f>Table1[[#This Row],[Profit]]/Table1[[#This Row],[Sales]]</f>
        <v>0.27485380116959063</v>
      </c>
    </row>
    <row r="77" spans="1:20" x14ac:dyDescent="0.3">
      <c r="A77" t="s">
        <v>170</v>
      </c>
      <c r="B77" s="17">
        <v>45835</v>
      </c>
      <c r="C77" t="s">
        <v>31</v>
      </c>
      <c r="D77" t="s">
        <v>32</v>
      </c>
      <c r="E77" t="s">
        <v>33</v>
      </c>
      <c r="F77" t="s">
        <v>34</v>
      </c>
      <c r="G77" t="s">
        <v>28</v>
      </c>
      <c r="H77" t="s">
        <v>102</v>
      </c>
      <c r="I77">
        <v>3</v>
      </c>
      <c r="J77">
        <v>7000</v>
      </c>
      <c r="K77">
        <v>0.05</v>
      </c>
      <c r="L77">
        <v>19950</v>
      </c>
      <c r="M77">
        <v>14400</v>
      </c>
      <c r="N77">
        <v>5550</v>
      </c>
      <c r="O77" t="s">
        <v>23</v>
      </c>
      <c r="P77" t="s">
        <v>42</v>
      </c>
      <c r="Q77" t="str">
        <f>TEXT(Table1[[#This Row],[Order_Date]],"mmm")</f>
        <v>Jun</v>
      </c>
      <c r="R77" t="b">
        <f t="shared" si="1"/>
        <v>1</v>
      </c>
      <c r="T77" s="6">
        <f>Table1[[#This Row],[Profit]]/Table1[[#This Row],[Sales]]</f>
        <v>0.2781954887218045</v>
      </c>
    </row>
    <row r="78" spans="1:20" x14ac:dyDescent="0.3">
      <c r="A78" t="s">
        <v>171</v>
      </c>
      <c r="B78" s="17">
        <v>45908</v>
      </c>
      <c r="C78" t="s">
        <v>17</v>
      </c>
      <c r="D78" t="s">
        <v>18</v>
      </c>
      <c r="E78" t="s">
        <v>33</v>
      </c>
      <c r="F78" t="s">
        <v>34</v>
      </c>
      <c r="G78" t="s">
        <v>35</v>
      </c>
      <c r="H78" t="s">
        <v>36</v>
      </c>
      <c r="I78">
        <v>3</v>
      </c>
      <c r="J78">
        <v>7000</v>
      </c>
      <c r="K78">
        <v>0</v>
      </c>
      <c r="L78">
        <v>21000</v>
      </c>
      <c r="M78">
        <v>14400</v>
      </c>
      <c r="N78">
        <v>6600</v>
      </c>
      <c r="O78" t="s">
        <v>51</v>
      </c>
      <c r="P78" t="s">
        <v>24</v>
      </c>
      <c r="Q78" t="str">
        <f>TEXT(Table1[[#This Row],[Order_Date]],"mmm")</f>
        <v>Sep</v>
      </c>
      <c r="R78" t="b">
        <f t="shared" si="1"/>
        <v>1</v>
      </c>
      <c r="T78" s="6">
        <f>Table1[[#This Row],[Profit]]/Table1[[#This Row],[Sales]]</f>
        <v>0.31428571428571428</v>
      </c>
    </row>
    <row r="79" spans="1:20" x14ac:dyDescent="0.3">
      <c r="A79" t="s">
        <v>172</v>
      </c>
      <c r="B79" s="17">
        <v>45925</v>
      </c>
      <c r="C79" t="s">
        <v>132</v>
      </c>
      <c r="D79" t="s">
        <v>133</v>
      </c>
      <c r="E79" t="s">
        <v>85</v>
      </c>
      <c r="F79" t="s">
        <v>78</v>
      </c>
      <c r="G79" t="s">
        <v>35</v>
      </c>
      <c r="H79" t="s">
        <v>57</v>
      </c>
      <c r="I79">
        <v>5</v>
      </c>
      <c r="J79">
        <v>900</v>
      </c>
      <c r="K79">
        <v>0.1</v>
      </c>
      <c r="L79">
        <v>4050</v>
      </c>
      <c r="M79">
        <v>2500</v>
      </c>
      <c r="N79">
        <v>1550</v>
      </c>
      <c r="O79" t="s">
        <v>97</v>
      </c>
      <c r="P79" t="s">
        <v>42</v>
      </c>
      <c r="Q79" t="str">
        <f>TEXT(Table1[[#This Row],[Order_Date]],"mmm")</f>
        <v>Sep</v>
      </c>
      <c r="R79" t="b">
        <f t="shared" si="1"/>
        <v>1</v>
      </c>
      <c r="T79" s="6">
        <f>Table1[[#This Row],[Profit]]/Table1[[#This Row],[Sales]]</f>
        <v>0.38271604938271603</v>
      </c>
    </row>
    <row r="80" spans="1:20" x14ac:dyDescent="0.3">
      <c r="A80" t="s">
        <v>173</v>
      </c>
      <c r="B80" s="17">
        <v>45783</v>
      </c>
      <c r="C80" t="s">
        <v>119</v>
      </c>
      <c r="D80" t="s">
        <v>120</v>
      </c>
      <c r="E80" t="s">
        <v>44</v>
      </c>
      <c r="F80" t="s">
        <v>34</v>
      </c>
      <c r="G80" t="s">
        <v>21</v>
      </c>
      <c r="H80" t="s">
        <v>86</v>
      </c>
      <c r="I80">
        <v>4</v>
      </c>
      <c r="J80">
        <v>8000</v>
      </c>
      <c r="K80">
        <v>0.15</v>
      </c>
      <c r="L80">
        <v>27200</v>
      </c>
      <c r="M80">
        <v>22400</v>
      </c>
      <c r="N80">
        <v>4800</v>
      </c>
      <c r="O80" t="s">
        <v>51</v>
      </c>
      <c r="P80" t="s">
        <v>42</v>
      </c>
      <c r="Q80" t="str">
        <f>TEXT(Table1[[#This Row],[Order_Date]],"mmm")</f>
        <v>May</v>
      </c>
      <c r="R80" t="b">
        <f t="shared" si="1"/>
        <v>1</v>
      </c>
      <c r="T80" s="6">
        <f>Table1[[#This Row],[Profit]]/Table1[[#This Row],[Sales]]</f>
        <v>0.17647058823529413</v>
      </c>
    </row>
    <row r="81" spans="1:20" x14ac:dyDescent="0.3">
      <c r="A81" t="s">
        <v>174</v>
      </c>
      <c r="B81" s="17">
        <v>45672</v>
      </c>
      <c r="C81" t="s">
        <v>90</v>
      </c>
      <c r="D81" t="s">
        <v>91</v>
      </c>
      <c r="E81" t="s">
        <v>60</v>
      </c>
      <c r="F81" t="s">
        <v>50</v>
      </c>
      <c r="G81" t="s">
        <v>21</v>
      </c>
      <c r="H81" t="s">
        <v>86</v>
      </c>
      <c r="I81">
        <v>3</v>
      </c>
      <c r="J81">
        <v>6000</v>
      </c>
      <c r="K81">
        <v>0</v>
      </c>
      <c r="L81">
        <v>18000</v>
      </c>
      <c r="M81">
        <v>12600</v>
      </c>
      <c r="N81">
        <v>5400</v>
      </c>
      <c r="O81" t="s">
        <v>97</v>
      </c>
      <c r="P81" t="s">
        <v>42</v>
      </c>
      <c r="Q81" t="str">
        <f>TEXT(Table1[[#This Row],[Order_Date]],"mmm")</f>
        <v>Jan</v>
      </c>
      <c r="R81" t="b">
        <f t="shared" si="1"/>
        <v>1</v>
      </c>
      <c r="T81" s="6">
        <f>Table1[[#This Row],[Profit]]/Table1[[#This Row],[Sales]]</f>
        <v>0.3</v>
      </c>
    </row>
    <row r="82" spans="1:20" x14ac:dyDescent="0.3">
      <c r="A82" t="s">
        <v>175</v>
      </c>
      <c r="B82" s="17">
        <v>45832</v>
      </c>
      <c r="C82" t="s">
        <v>132</v>
      </c>
      <c r="D82" t="s">
        <v>133</v>
      </c>
      <c r="E82" t="s">
        <v>85</v>
      </c>
      <c r="F82" t="s">
        <v>78</v>
      </c>
      <c r="G82" t="s">
        <v>28</v>
      </c>
      <c r="H82" t="s">
        <v>102</v>
      </c>
      <c r="I82">
        <v>3</v>
      </c>
      <c r="J82">
        <v>900</v>
      </c>
      <c r="K82">
        <v>0</v>
      </c>
      <c r="L82">
        <v>2700</v>
      </c>
      <c r="M82">
        <v>1500</v>
      </c>
      <c r="N82">
        <v>1200</v>
      </c>
      <c r="O82" t="s">
        <v>23</v>
      </c>
      <c r="P82" t="s">
        <v>24</v>
      </c>
      <c r="Q82" t="str">
        <f>TEXT(Table1[[#This Row],[Order_Date]],"mmm")</f>
        <v>Jun</v>
      </c>
      <c r="R82" t="b">
        <f t="shared" si="1"/>
        <v>1</v>
      </c>
      <c r="T82" s="6">
        <f>Table1[[#This Row],[Profit]]/Table1[[#This Row],[Sales]]</f>
        <v>0.44444444444444442</v>
      </c>
    </row>
    <row r="83" spans="1:20" x14ac:dyDescent="0.3">
      <c r="A83" t="s">
        <v>176</v>
      </c>
      <c r="B83" s="17">
        <v>45866</v>
      </c>
      <c r="C83" t="s">
        <v>90</v>
      </c>
      <c r="D83" t="s">
        <v>91</v>
      </c>
      <c r="E83" t="s">
        <v>116</v>
      </c>
      <c r="F83" t="s">
        <v>78</v>
      </c>
      <c r="G83" t="s">
        <v>35</v>
      </c>
      <c r="H83" t="s">
        <v>36</v>
      </c>
      <c r="I83">
        <v>2</v>
      </c>
      <c r="J83">
        <v>3000</v>
      </c>
      <c r="K83">
        <v>0.1</v>
      </c>
      <c r="L83">
        <v>5400</v>
      </c>
      <c r="M83">
        <v>3800</v>
      </c>
      <c r="N83">
        <v>1600</v>
      </c>
      <c r="O83" t="s">
        <v>51</v>
      </c>
      <c r="P83" t="s">
        <v>24</v>
      </c>
      <c r="Q83" t="str">
        <f>TEXT(Table1[[#This Row],[Order_Date]],"mmm")</f>
        <v>Jul</v>
      </c>
      <c r="R83" t="b">
        <f t="shared" si="1"/>
        <v>1</v>
      </c>
      <c r="T83" s="6">
        <f>Table1[[#This Row],[Profit]]/Table1[[#This Row],[Sales]]</f>
        <v>0.29629629629629628</v>
      </c>
    </row>
    <row r="84" spans="1:20" x14ac:dyDescent="0.3">
      <c r="A84" t="s">
        <v>177</v>
      </c>
      <c r="B84" s="17">
        <v>45705</v>
      </c>
      <c r="C84" t="s">
        <v>128</v>
      </c>
      <c r="D84" t="s">
        <v>129</v>
      </c>
      <c r="E84" t="s">
        <v>65</v>
      </c>
      <c r="F84" t="s">
        <v>20</v>
      </c>
      <c r="G84" t="s">
        <v>21</v>
      </c>
      <c r="H84" t="s">
        <v>86</v>
      </c>
      <c r="I84">
        <v>4</v>
      </c>
      <c r="J84">
        <v>5000</v>
      </c>
      <c r="K84">
        <v>0.15</v>
      </c>
      <c r="L84">
        <v>17000</v>
      </c>
      <c r="M84">
        <v>14000</v>
      </c>
      <c r="N84">
        <v>3000</v>
      </c>
      <c r="O84" t="s">
        <v>97</v>
      </c>
      <c r="P84" t="s">
        <v>42</v>
      </c>
      <c r="Q84" t="str">
        <f>TEXT(Table1[[#This Row],[Order_Date]],"mmm")</f>
        <v>Feb</v>
      </c>
      <c r="R84" t="b">
        <f t="shared" si="1"/>
        <v>1</v>
      </c>
      <c r="T84" s="6">
        <f>Table1[[#This Row],[Profit]]/Table1[[#This Row],[Sales]]</f>
        <v>0.17647058823529413</v>
      </c>
    </row>
    <row r="85" spans="1:20" x14ac:dyDescent="0.3">
      <c r="A85" t="s">
        <v>178</v>
      </c>
      <c r="B85" s="17">
        <v>45941</v>
      </c>
      <c r="C85" t="s">
        <v>83</v>
      </c>
      <c r="D85" t="s">
        <v>84</v>
      </c>
      <c r="E85" t="s">
        <v>38</v>
      </c>
      <c r="F85" t="s">
        <v>34</v>
      </c>
      <c r="G85" t="s">
        <v>40</v>
      </c>
      <c r="H85" t="s">
        <v>61</v>
      </c>
      <c r="I85">
        <v>4</v>
      </c>
      <c r="J85">
        <v>12000</v>
      </c>
      <c r="K85">
        <v>0.1</v>
      </c>
      <c r="L85">
        <v>43200</v>
      </c>
      <c r="M85">
        <v>34000</v>
      </c>
      <c r="N85">
        <v>9200</v>
      </c>
      <c r="O85" t="s">
        <v>97</v>
      </c>
      <c r="P85" t="s">
        <v>42</v>
      </c>
      <c r="Q85" t="str">
        <f>TEXT(Table1[[#This Row],[Order_Date]],"mmm")</f>
        <v>Oct</v>
      </c>
      <c r="R85" t="b">
        <f t="shared" si="1"/>
        <v>1</v>
      </c>
      <c r="T85" s="6">
        <f>Table1[[#This Row],[Profit]]/Table1[[#This Row],[Sales]]</f>
        <v>0.21296296296296297</v>
      </c>
    </row>
    <row r="86" spans="1:20" x14ac:dyDescent="0.3">
      <c r="A86" t="s">
        <v>179</v>
      </c>
      <c r="B86" s="17">
        <v>45786</v>
      </c>
      <c r="C86" t="s">
        <v>47</v>
      </c>
      <c r="D86" t="s">
        <v>48</v>
      </c>
      <c r="E86" t="s">
        <v>88</v>
      </c>
      <c r="F86" t="s">
        <v>20</v>
      </c>
      <c r="G86" t="s">
        <v>40</v>
      </c>
      <c r="H86" t="s">
        <v>41</v>
      </c>
      <c r="I86">
        <v>2</v>
      </c>
      <c r="J86">
        <v>25000</v>
      </c>
      <c r="K86">
        <v>0.15</v>
      </c>
      <c r="L86">
        <v>42500</v>
      </c>
      <c r="M86">
        <v>41000</v>
      </c>
      <c r="N86">
        <v>1500</v>
      </c>
      <c r="O86" t="s">
        <v>58</v>
      </c>
      <c r="P86" t="s">
        <v>24</v>
      </c>
      <c r="Q86" t="str">
        <f>TEXT(Table1[[#This Row],[Order_Date]],"mmm")</f>
        <v>May</v>
      </c>
      <c r="R86" t="b">
        <f t="shared" si="1"/>
        <v>1</v>
      </c>
      <c r="T86" s="6">
        <f>Table1[[#This Row],[Profit]]/Table1[[#This Row],[Sales]]</f>
        <v>3.5294117647058823E-2</v>
      </c>
    </row>
    <row r="87" spans="1:20" x14ac:dyDescent="0.3">
      <c r="A87" t="s">
        <v>180</v>
      </c>
      <c r="B87" s="17">
        <v>45768</v>
      </c>
      <c r="C87" t="s">
        <v>90</v>
      </c>
      <c r="D87" t="s">
        <v>91</v>
      </c>
      <c r="E87" t="s">
        <v>44</v>
      </c>
      <c r="F87" t="s">
        <v>34</v>
      </c>
      <c r="G87" t="s">
        <v>40</v>
      </c>
      <c r="H87" t="s">
        <v>41</v>
      </c>
      <c r="I87">
        <v>5</v>
      </c>
      <c r="J87">
        <v>8000</v>
      </c>
      <c r="K87">
        <v>0</v>
      </c>
      <c r="L87">
        <v>40000</v>
      </c>
      <c r="M87">
        <v>28000</v>
      </c>
      <c r="N87">
        <v>12000</v>
      </c>
      <c r="O87" t="s">
        <v>97</v>
      </c>
      <c r="P87" t="s">
        <v>24</v>
      </c>
      <c r="Q87" t="str">
        <f>TEXT(Table1[[#This Row],[Order_Date]],"mmm")</f>
        <v>Apr</v>
      </c>
      <c r="R87" t="b">
        <f t="shared" si="1"/>
        <v>1</v>
      </c>
      <c r="T87" s="6">
        <f>Table1[[#This Row],[Profit]]/Table1[[#This Row],[Sales]]</f>
        <v>0.3</v>
      </c>
    </row>
    <row r="88" spans="1:20" x14ac:dyDescent="0.3">
      <c r="A88" t="s">
        <v>181</v>
      </c>
      <c r="B88" s="17">
        <v>45842</v>
      </c>
      <c r="C88" t="s">
        <v>71</v>
      </c>
      <c r="D88" t="s">
        <v>72</v>
      </c>
      <c r="E88" t="s">
        <v>44</v>
      </c>
      <c r="F88" t="s">
        <v>34</v>
      </c>
      <c r="G88" t="s">
        <v>21</v>
      </c>
      <c r="H88" t="s">
        <v>86</v>
      </c>
      <c r="I88">
        <v>1</v>
      </c>
      <c r="J88">
        <v>8000</v>
      </c>
      <c r="K88">
        <v>0</v>
      </c>
      <c r="L88">
        <v>8000</v>
      </c>
      <c r="M88">
        <v>5600</v>
      </c>
      <c r="N88">
        <v>2400</v>
      </c>
      <c r="O88" t="s">
        <v>23</v>
      </c>
      <c r="P88" t="s">
        <v>42</v>
      </c>
      <c r="Q88" t="str">
        <f>TEXT(Table1[[#This Row],[Order_Date]],"mmm")</f>
        <v>Jul</v>
      </c>
      <c r="R88" t="b">
        <f t="shared" si="1"/>
        <v>1</v>
      </c>
      <c r="T88" s="6">
        <f>Table1[[#This Row],[Profit]]/Table1[[#This Row],[Sales]]</f>
        <v>0.3</v>
      </c>
    </row>
    <row r="89" spans="1:20" x14ac:dyDescent="0.3">
      <c r="A89" t="s">
        <v>182</v>
      </c>
      <c r="B89" s="17">
        <v>46015</v>
      </c>
      <c r="C89" t="s">
        <v>135</v>
      </c>
      <c r="D89" t="s">
        <v>136</v>
      </c>
      <c r="E89" t="s">
        <v>77</v>
      </c>
      <c r="F89" t="s">
        <v>78</v>
      </c>
      <c r="G89" t="s">
        <v>28</v>
      </c>
      <c r="H89" t="s">
        <v>29</v>
      </c>
      <c r="I89">
        <v>4</v>
      </c>
      <c r="J89">
        <v>1800</v>
      </c>
      <c r="K89">
        <v>0.15</v>
      </c>
      <c r="L89">
        <v>6120</v>
      </c>
      <c r="M89">
        <v>4400</v>
      </c>
      <c r="N89">
        <v>1720</v>
      </c>
      <c r="O89" t="s">
        <v>97</v>
      </c>
      <c r="P89" t="s">
        <v>42</v>
      </c>
      <c r="Q89" t="str">
        <f>TEXT(Table1[[#This Row],[Order_Date]],"mmm")</f>
        <v>Dec</v>
      </c>
      <c r="R89" t="b">
        <f t="shared" si="1"/>
        <v>1</v>
      </c>
      <c r="T89" s="6">
        <f>Table1[[#This Row],[Profit]]/Table1[[#This Row],[Sales]]</f>
        <v>0.28104575163398693</v>
      </c>
    </row>
    <row r="90" spans="1:20" x14ac:dyDescent="0.3">
      <c r="A90" t="s">
        <v>183</v>
      </c>
      <c r="B90" s="17">
        <v>45903</v>
      </c>
      <c r="C90" t="s">
        <v>107</v>
      </c>
      <c r="D90" t="s">
        <v>108</v>
      </c>
      <c r="E90" t="s">
        <v>38</v>
      </c>
      <c r="F90" t="s">
        <v>34</v>
      </c>
      <c r="G90" t="s">
        <v>28</v>
      </c>
      <c r="H90" t="s">
        <v>73</v>
      </c>
      <c r="I90">
        <v>2</v>
      </c>
      <c r="J90">
        <v>12000</v>
      </c>
      <c r="K90">
        <v>0.1</v>
      </c>
      <c r="L90">
        <v>21600</v>
      </c>
      <c r="M90">
        <v>17000</v>
      </c>
      <c r="N90">
        <v>4600</v>
      </c>
      <c r="O90" t="s">
        <v>23</v>
      </c>
      <c r="P90" t="s">
        <v>24</v>
      </c>
      <c r="Q90" t="str">
        <f>TEXT(Table1[[#This Row],[Order_Date]],"mmm")</f>
        <v>Sep</v>
      </c>
      <c r="R90" t="b">
        <f t="shared" si="1"/>
        <v>1</v>
      </c>
      <c r="T90" s="6">
        <f>Table1[[#This Row],[Profit]]/Table1[[#This Row],[Sales]]</f>
        <v>0.21296296296296297</v>
      </c>
    </row>
    <row r="91" spans="1:20" x14ac:dyDescent="0.3">
      <c r="A91" t="s">
        <v>184</v>
      </c>
      <c r="B91" s="17">
        <v>45863</v>
      </c>
      <c r="C91" t="s">
        <v>90</v>
      </c>
      <c r="D91" t="s">
        <v>91</v>
      </c>
      <c r="E91" t="s">
        <v>88</v>
      </c>
      <c r="F91" t="s">
        <v>20</v>
      </c>
      <c r="G91" t="s">
        <v>28</v>
      </c>
      <c r="H91" t="s">
        <v>29</v>
      </c>
      <c r="I91">
        <v>5</v>
      </c>
      <c r="J91">
        <v>25000</v>
      </c>
      <c r="K91">
        <v>0</v>
      </c>
      <c r="L91">
        <v>125000</v>
      </c>
      <c r="M91">
        <v>102500</v>
      </c>
      <c r="N91">
        <v>22500</v>
      </c>
      <c r="O91" t="s">
        <v>97</v>
      </c>
      <c r="P91" t="s">
        <v>24</v>
      </c>
      <c r="Q91" t="str">
        <f>TEXT(Table1[[#This Row],[Order_Date]],"mmm")</f>
        <v>Jul</v>
      </c>
      <c r="R91" t="b">
        <f t="shared" si="1"/>
        <v>1</v>
      </c>
      <c r="T91" s="6">
        <f>Table1[[#This Row],[Profit]]/Table1[[#This Row],[Sales]]</f>
        <v>0.18</v>
      </c>
    </row>
    <row r="92" spans="1:20" x14ac:dyDescent="0.3">
      <c r="A92" t="s">
        <v>185</v>
      </c>
      <c r="B92" s="17">
        <v>45785</v>
      </c>
      <c r="C92" t="s">
        <v>17</v>
      </c>
      <c r="D92" t="s">
        <v>18</v>
      </c>
      <c r="E92" t="s">
        <v>116</v>
      </c>
      <c r="F92" t="s">
        <v>78</v>
      </c>
      <c r="G92" t="s">
        <v>21</v>
      </c>
      <c r="H92" t="s">
        <v>95</v>
      </c>
      <c r="I92">
        <v>4</v>
      </c>
      <c r="J92">
        <v>3000</v>
      </c>
      <c r="K92">
        <v>0.1</v>
      </c>
      <c r="L92">
        <v>10800</v>
      </c>
      <c r="M92">
        <v>7600</v>
      </c>
      <c r="N92">
        <v>3200</v>
      </c>
      <c r="O92" t="s">
        <v>51</v>
      </c>
      <c r="P92" t="s">
        <v>42</v>
      </c>
      <c r="Q92" t="str">
        <f>TEXT(Table1[[#This Row],[Order_Date]],"mmm")</f>
        <v>May</v>
      </c>
      <c r="R92" t="b">
        <f t="shared" si="1"/>
        <v>1</v>
      </c>
      <c r="T92" s="6">
        <f>Table1[[#This Row],[Profit]]/Table1[[#This Row],[Sales]]</f>
        <v>0.29629629629629628</v>
      </c>
    </row>
    <row r="93" spans="1:20" x14ac:dyDescent="0.3">
      <c r="A93" t="s">
        <v>186</v>
      </c>
      <c r="B93" s="17">
        <v>45810</v>
      </c>
      <c r="C93" t="s">
        <v>113</v>
      </c>
      <c r="D93" t="s">
        <v>114</v>
      </c>
      <c r="E93" t="s">
        <v>33</v>
      </c>
      <c r="F93" t="s">
        <v>34</v>
      </c>
      <c r="G93" t="s">
        <v>28</v>
      </c>
      <c r="H93" t="s">
        <v>102</v>
      </c>
      <c r="I93">
        <v>3</v>
      </c>
      <c r="J93">
        <v>7000</v>
      </c>
      <c r="K93">
        <v>0</v>
      </c>
      <c r="L93">
        <v>21000</v>
      </c>
      <c r="M93">
        <v>14400</v>
      </c>
      <c r="N93">
        <v>6600</v>
      </c>
      <c r="O93" t="s">
        <v>58</v>
      </c>
      <c r="P93" t="s">
        <v>24</v>
      </c>
      <c r="Q93" t="str">
        <f>TEXT(Table1[[#This Row],[Order_Date]],"mmm")</f>
        <v>Jun</v>
      </c>
      <c r="R93" t="b">
        <f t="shared" si="1"/>
        <v>1</v>
      </c>
      <c r="T93" s="6">
        <f>Table1[[#This Row],[Profit]]/Table1[[#This Row],[Sales]]</f>
        <v>0.31428571428571428</v>
      </c>
    </row>
    <row r="94" spans="1:20" x14ac:dyDescent="0.3">
      <c r="A94" t="s">
        <v>187</v>
      </c>
      <c r="B94" s="17">
        <v>45793</v>
      </c>
      <c r="C94" t="s">
        <v>119</v>
      </c>
      <c r="D94" t="s">
        <v>120</v>
      </c>
      <c r="E94" t="s">
        <v>55</v>
      </c>
      <c r="F94" t="s">
        <v>20</v>
      </c>
      <c r="G94" t="s">
        <v>21</v>
      </c>
      <c r="H94" t="s">
        <v>95</v>
      </c>
      <c r="I94">
        <v>2</v>
      </c>
      <c r="J94">
        <v>2500</v>
      </c>
      <c r="K94">
        <v>0</v>
      </c>
      <c r="L94">
        <v>5000</v>
      </c>
      <c r="M94">
        <v>3400</v>
      </c>
      <c r="N94">
        <v>1600</v>
      </c>
      <c r="O94" t="s">
        <v>58</v>
      </c>
      <c r="P94" t="s">
        <v>24</v>
      </c>
      <c r="Q94" t="str">
        <f>TEXT(Table1[[#This Row],[Order_Date]],"mmm")</f>
        <v>May</v>
      </c>
      <c r="R94" t="b">
        <f t="shared" si="1"/>
        <v>1</v>
      </c>
      <c r="T94" s="6">
        <f>Table1[[#This Row],[Profit]]/Table1[[#This Row],[Sales]]</f>
        <v>0.32</v>
      </c>
    </row>
    <row r="95" spans="1:20" x14ac:dyDescent="0.3">
      <c r="A95" t="s">
        <v>188</v>
      </c>
      <c r="B95" s="17">
        <v>45867</v>
      </c>
      <c r="C95" t="s">
        <v>107</v>
      </c>
      <c r="D95" t="s">
        <v>108</v>
      </c>
      <c r="E95" t="s">
        <v>67</v>
      </c>
      <c r="F95" t="s">
        <v>50</v>
      </c>
      <c r="G95" t="s">
        <v>35</v>
      </c>
      <c r="H95" t="s">
        <v>57</v>
      </c>
      <c r="I95">
        <v>5</v>
      </c>
      <c r="J95">
        <v>4500</v>
      </c>
      <c r="K95">
        <v>0</v>
      </c>
      <c r="L95">
        <v>22500</v>
      </c>
      <c r="M95">
        <v>15500</v>
      </c>
      <c r="N95">
        <v>7000</v>
      </c>
      <c r="O95" t="s">
        <v>58</v>
      </c>
      <c r="P95" t="s">
        <v>42</v>
      </c>
      <c r="Q95" t="str">
        <f>TEXT(Table1[[#This Row],[Order_Date]],"mmm")</f>
        <v>Jul</v>
      </c>
      <c r="R95" t="b">
        <f t="shared" si="1"/>
        <v>1</v>
      </c>
      <c r="T95" s="6">
        <f>Table1[[#This Row],[Profit]]/Table1[[#This Row],[Sales]]</f>
        <v>0.31111111111111112</v>
      </c>
    </row>
    <row r="96" spans="1:20" x14ac:dyDescent="0.3">
      <c r="A96" t="s">
        <v>189</v>
      </c>
      <c r="B96" s="17">
        <v>46019</v>
      </c>
      <c r="C96" t="s">
        <v>128</v>
      </c>
      <c r="D96" t="s">
        <v>129</v>
      </c>
      <c r="E96" t="s">
        <v>67</v>
      </c>
      <c r="F96" t="s">
        <v>50</v>
      </c>
      <c r="G96" t="s">
        <v>28</v>
      </c>
      <c r="H96" t="s">
        <v>102</v>
      </c>
      <c r="I96">
        <v>4</v>
      </c>
      <c r="J96">
        <v>4500</v>
      </c>
      <c r="K96">
        <v>0</v>
      </c>
      <c r="L96">
        <v>18000</v>
      </c>
      <c r="M96">
        <v>12400</v>
      </c>
      <c r="N96">
        <v>5600</v>
      </c>
      <c r="O96" t="s">
        <v>97</v>
      </c>
      <c r="P96" t="s">
        <v>24</v>
      </c>
      <c r="Q96" t="str">
        <f>TEXT(Table1[[#This Row],[Order_Date]],"mmm")</f>
        <v>Dec</v>
      </c>
      <c r="R96" t="b">
        <f t="shared" si="1"/>
        <v>1</v>
      </c>
      <c r="T96" s="6">
        <f>Table1[[#This Row],[Profit]]/Table1[[#This Row],[Sales]]</f>
        <v>0.31111111111111112</v>
      </c>
    </row>
    <row r="97" spans="1:20" x14ac:dyDescent="0.3">
      <c r="A97" t="s">
        <v>190</v>
      </c>
      <c r="B97" s="17">
        <v>45875</v>
      </c>
      <c r="C97" t="s">
        <v>17</v>
      </c>
      <c r="D97" t="s">
        <v>18</v>
      </c>
      <c r="E97" t="s">
        <v>116</v>
      </c>
      <c r="F97" t="s">
        <v>78</v>
      </c>
      <c r="G97" t="s">
        <v>21</v>
      </c>
      <c r="H97" t="s">
        <v>86</v>
      </c>
      <c r="I97">
        <v>2</v>
      </c>
      <c r="J97">
        <v>3000</v>
      </c>
      <c r="K97">
        <v>0</v>
      </c>
      <c r="L97">
        <v>6000</v>
      </c>
      <c r="M97">
        <v>3800</v>
      </c>
      <c r="N97">
        <v>2200</v>
      </c>
      <c r="O97" t="s">
        <v>23</v>
      </c>
      <c r="P97" t="s">
        <v>24</v>
      </c>
      <c r="Q97" t="str">
        <f>TEXT(Table1[[#This Row],[Order_Date]],"mmm")</f>
        <v>Aug</v>
      </c>
      <c r="R97" t="b">
        <f t="shared" si="1"/>
        <v>1</v>
      </c>
      <c r="T97" s="6">
        <f>Table1[[#This Row],[Profit]]/Table1[[#This Row],[Sales]]</f>
        <v>0.36666666666666664</v>
      </c>
    </row>
    <row r="98" spans="1:20" x14ac:dyDescent="0.3">
      <c r="A98" t="s">
        <v>191</v>
      </c>
      <c r="B98" s="17">
        <v>45742</v>
      </c>
      <c r="C98" t="s">
        <v>128</v>
      </c>
      <c r="D98" t="s">
        <v>129</v>
      </c>
      <c r="E98" t="s">
        <v>85</v>
      </c>
      <c r="F98" t="s">
        <v>78</v>
      </c>
      <c r="G98" t="s">
        <v>40</v>
      </c>
      <c r="H98" t="s">
        <v>61</v>
      </c>
      <c r="I98">
        <v>5</v>
      </c>
      <c r="J98">
        <v>900</v>
      </c>
      <c r="K98">
        <v>0</v>
      </c>
      <c r="L98">
        <v>4500</v>
      </c>
      <c r="M98">
        <v>2500</v>
      </c>
      <c r="N98">
        <v>2000</v>
      </c>
      <c r="O98" t="s">
        <v>51</v>
      </c>
      <c r="P98" t="s">
        <v>42</v>
      </c>
      <c r="Q98" t="str">
        <f>TEXT(Table1[[#This Row],[Order_Date]],"mmm")</f>
        <v>Mar</v>
      </c>
      <c r="R98" t="b">
        <f t="shared" si="1"/>
        <v>1</v>
      </c>
      <c r="T98" s="6">
        <f>Table1[[#This Row],[Profit]]/Table1[[#This Row],[Sales]]</f>
        <v>0.44444444444444442</v>
      </c>
    </row>
    <row r="99" spans="1:20" x14ac:dyDescent="0.3">
      <c r="A99" t="s">
        <v>192</v>
      </c>
      <c r="B99" s="17">
        <v>46016</v>
      </c>
      <c r="C99" t="s">
        <v>122</v>
      </c>
      <c r="D99" t="s">
        <v>123</v>
      </c>
      <c r="E99" t="s">
        <v>44</v>
      </c>
      <c r="F99" t="s">
        <v>34</v>
      </c>
      <c r="G99" t="s">
        <v>35</v>
      </c>
      <c r="H99" t="s">
        <v>57</v>
      </c>
      <c r="I99">
        <v>5</v>
      </c>
      <c r="J99">
        <v>8000</v>
      </c>
      <c r="K99">
        <v>0</v>
      </c>
      <c r="L99">
        <v>40000</v>
      </c>
      <c r="M99">
        <v>28000</v>
      </c>
      <c r="N99">
        <v>12000</v>
      </c>
      <c r="O99" t="s">
        <v>23</v>
      </c>
      <c r="P99" t="s">
        <v>42</v>
      </c>
      <c r="Q99" t="str">
        <f>TEXT(Table1[[#This Row],[Order_Date]],"mmm")</f>
        <v>Dec</v>
      </c>
      <c r="R99" t="b">
        <f t="shared" si="1"/>
        <v>1</v>
      </c>
      <c r="T99" s="6">
        <f>Table1[[#This Row],[Profit]]/Table1[[#This Row],[Sales]]</f>
        <v>0.3</v>
      </c>
    </row>
    <row r="100" spans="1:20" x14ac:dyDescent="0.3">
      <c r="A100" t="s">
        <v>193</v>
      </c>
      <c r="B100" s="17">
        <v>45823</v>
      </c>
      <c r="C100" t="s">
        <v>93</v>
      </c>
      <c r="D100" t="s">
        <v>94</v>
      </c>
      <c r="E100" t="s">
        <v>44</v>
      </c>
      <c r="F100" t="s">
        <v>34</v>
      </c>
      <c r="G100" t="s">
        <v>28</v>
      </c>
      <c r="H100" t="s">
        <v>29</v>
      </c>
      <c r="I100">
        <v>1</v>
      </c>
      <c r="J100">
        <v>8000</v>
      </c>
      <c r="K100">
        <v>0.15</v>
      </c>
      <c r="L100">
        <v>6800</v>
      </c>
      <c r="M100">
        <v>5600</v>
      </c>
      <c r="N100">
        <v>1200</v>
      </c>
      <c r="O100" t="s">
        <v>23</v>
      </c>
      <c r="P100" t="s">
        <v>42</v>
      </c>
      <c r="Q100" t="str">
        <f>TEXT(Table1[[#This Row],[Order_Date]],"mmm")</f>
        <v>Jun</v>
      </c>
      <c r="R100" t="b">
        <f t="shared" si="1"/>
        <v>1</v>
      </c>
      <c r="T100" s="6">
        <f>Table1[[#This Row],[Profit]]/Table1[[#This Row],[Sales]]</f>
        <v>0.17647058823529413</v>
      </c>
    </row>
    <row r="101" spans="1:20" x14ac:dyDescent="0.3">
      <c r="A101" t="s">
        <v>194</v>
      </c>
      <c r="B101" s="17">
        <v>45953</v>
      </c>
      <c r="C101" t="s">
        <v>100</v>
      </c>
      <c r="D101" t="s">
        <v>101</v>
      </c>
      <c r="E101" t="s">
        <v>49</v>
      </c>
      <c r="F101" t="s">
        <v>50</v>
      </c>
      <c r="G101" t="s">
        <v>35</v>
      </c>
      <c r="H101" t="s">
        <v>36</v>
      </c>
      <c r="I101">
        <v>2</v>
      </c>
      <c r="J101">
        <v>3500</v>
      </c>
      <c r="K101">
        <v>0.1</v>
      </c>
      <c r="L101">
        <v>6300</v>
      </c>
      <c r="M101">
        <v>4800</v>
      </c>
      <c r="N101">
        <v>1500</v>
      </c>
      <c r="O101" t="s">
        <v>97</v>
      </c>
      <c r="P101" t="s">
        <v>24</v>
      </c>
      <c r="Q101" t="str">
        <f>TEXT(Table1[[#This Row],[Order_Date]],"mmm")</f>
        <v>Oct</v>
      </c>
      <c r="R101" t="b">
        <f t="shared" si="1"/>
        <v>1</v>
      </c>
      <c r="T101" s="6">
        <f>Table1[[#This Row],[Profit]]/Table1[[#This Row],[Sales]]</f>
        <v>0.23809523809523808</v>
      </c>
    </row>
    <row r="102" spans="1:20" x14ac:dyDescent="0.3">
      <c r="A102" t="s">
        <v>195</v>
      </c>
      <c r="B102" s="17">
        <v>45957</v>
      </c>
      <c r="C102" t="s">
        <v>26</v>
      </c>
      <c r="D102" t="s">
        <v>27</v>
      </c>
      <c r="E102" t="s">
        <v>77</v>
      </c>
      <c r="F102" t="s">
        <v>78</v>
      </c>
      <c r="G102" t="s">
        <v>28</v>
      </c>
      <c r="H102" t="s">
        <v>73</v>
      </c>
      <c r="I102">
        <v>4</v>
      </c>
      <c r="J102">
        <v>1800</v>
      </c>
      <c r="K102">
        <v>0.05</v>
      </c>
      <c r="L102">
        <v>6840</v>
      </c>
      <c r="M102">
        <v>4400</v>
      </c>
      <c r="N102">
        <v>2440</v>
      </c>
      <c r="O102" t="s">
        <v>51</v>
      </c>
      <c r="P102" t="s">
        <v>42</v>
      </c>
      <c r="Q102" t="str">
        <f>TEXT(Table1[[#This Row],[Order_Date]],"mmm")</f>
        <v>Oct</v>
      </c>
      <c r="R102" t="b">
        <f t="shared" si="1"/>
        <v>1</v>
      </c>
      <c r="T102" s="6">
        <f>Table1[[#This Row],[Profit]]/Table1[[#This Row],[Sales]]</f>
        <v>0.35672514619883039</v>
      </c>
    </row>
    <row r="103" spans="1:20" x14ac:dyDescent="0.3">
      <c r="A103" t="s">
        <v>196</v>
      </c>
      <c r="B103" s="17">
        <v>45822</v>
      </c>
      <c r="C103" t="s">
        <v>17</v>
      </c>
      <c r="D103" t="s">
        <v>18</v>
      </c>
      <c r="E103" t="s">
        <v>60</v>
      </c>
      <c r="F103" t="s">
        <v>50</v>
      </c>
      <c r="G103" t="s">
        <v>40</v>
      </c>
      <c r="H103" t="s">
        <v>61</v>
      </c>
      <c r="I103">
        <v>2</v>
      </c>
      <c r="J103">
        <v>6000</v>
      </c>
      <c r="K103">
        <v>0.1</v>
      </c>
      <c r="L103">
        <v>10800</v>
      </c>
      <c r="M103">
        <v>8400</v>
      </c>
      <c r="N103">
        <v>2400</v>
      </c>
      <c r="O103" t="s">
        <v>97</v>
      </c>
      <c r="P103" t="s">
        <v>42</v>
      </c>
      <c r="Q103" t="str">
        <f>TEXT(Table1[[#This Row],[Order_Date]],"mmm")</f>
        <v>Jun</v>
      </c>
      <c r="R103" t="b">
        <f t="shared" si="1"/>
        <v>1</v>
      </c>
      <c r="T103" s="6">
        <f>Table1[[#This Row],[Profit]]/Table1[[#This Row],[Sales]]</f>
        <v>0.22222222222222221</v>
      </c>
    </row>
    <row r="104" spans="1:20" x14ac:dyDescent="0.3">
      <c r="A104" t="s">
        <v>197</v>
      </c>
      <c r="B104" s="17">
        <v>45939</v>
      </c>
      <c r="C104" t="s">
        <v>100</v>
      </c>
      <c r="D104" t="s">
        <v>101</v>
      </c>
      <c r="E104" t="s">
        <v>80</v>
      </c>
      <c r="F104" t="s">
        <v>81</v>
      </c>
      <c r="G104" t="s">
        <v>40</v>
      </c>
      <c r="H104" t="s">
        <v>61</v>
      </c>
      <c r="I104">
        <v>1</v>
      </c>
      <c r="J104">
        <v>1800</v>
      </c>
      <c r="K104">
        <v>0.05</v>
      </c>
      <c r="L104">
        <v>1710</v>
      </c>
      <c r="M104">
        <v>1100</v>
      </c>
      <c r="N104">
        <v>610</v>
      </c>
      <c r="O104" t="s">
        <v>23</v>
      </c>
      <c r="P104" t="s">
        <v>42</v>
      </c>
      <c r="Q104" t="str">
        <f>TEXT(Table1[[#This Row],[Order_Date]],"mmm")</f>
        <v>Oct</v>
      </c>
      <c r="R104" t="b">
        <f t="shared" si="1"/>
        <v>1</v>
      </c>
      <c r="T104" s="6">
        <f>Table1[[#This Row],[Profit]]/Table1[[#This Row],[Sales]]</f>
        <v>0.35672514619883039</v>
      </c>
    </row>
    <row r="105" spans="1:20" x14ac:dyDescent="0.3">
      <c r="A105" t="s">
        <v>198</v>
      </c>
      <c r="B105" s="17">
        <v>45921</v>
      </c>
      <c r="C105" t="s">
        <v>75</v>
      </c>
      <c r="D105" t="s">
        <v>76</v>
      </c>
      <c r="E105" t="s">
        <v>77</v>
      </c>
      <c r="F105" t="s">
        <v>78</v>
      </c>
      <c r="G105" t="s">
        <v>35</v>
      </c>
      <c r="H105" t="s">
        <v>57</v>
      </c>
      <c r="I105">
        <v>5</v>
      </c>
      <c r="J105">
        <v>1800</v>
      </c>
      <c r="K105">
        <v>0</v>
      </c>
      <c r="L105">
        <v>9000</v>
      </c>
      <c r="M105">
        <v>5500</v>
      </c>
      <c r="N105">
        <v>3500</v>
      </c>
      <c r="O105" t="s">
        <v>58</v>
      </c>
      <c r="P105" t="s">
        <v>42</v>
      </c>
      <c r="Q105" t="str">
        <f>TEXT(Table1[[#This Row],[Order_Date]],"mmm")</f>
        <v>Sep</v>
      </c>
      <c r="R105" t="b">
        <f t="shared" si="1"/>
        <v>1</v>
      </c>
      <c r="T105" s="6">
        <f>Table1[[#This Row],[Profit]]/Table1[[#This Row],[Sales]]</f>
        <v>0.3888888888888889</v>
      </c>
    </row>
    <row r="106" spans="1:20" x14ac:dyDescent="0.3">
      <c r="A106" t="s">
        <v>199</v>
      </c>
      <c r="B106" s="17">
        <v>45976</v>
      </c>
      <c r="C106" t="s">
        <v>90</v>
      </c>
      <c r="D106" t="s">
        <v>91</v>
      </c>
      <c r="E106" t="s">
        <v>77</v>
      </c>
      <c r="F106" t="s">
        <v>78</v>
      </c>
      <c r="G106" t="s">
        <v>28</v>
      </c>
      <c r="H106" t="s">
        <v>29</v>
      </c>
      <c r="I106">
        <v>4</v>
      </c>
      <c r="J106">
        <v>1800</v>
      </c>
      <c r="K106">
        <v>0.05</v>
      </c>
      <c r="L106">
        <v>6840</v>
      </c>
      <c r="M106">
        <v>4400</v>
      </c>
      <c r="N106">
        <v>2440</v>
      </c>
      <c r="O106" t="s">
        <v>58</v>
      </c>
      <c r="P106" t="s">
        <v>42</v>
      </c>
      <c r="Q106" t="str">
        <f>TEXT(Table1[[#This Row],[Order_Date]],"mmm")</f>
        <v>Nov</v>
      </c>
      <c r="R106" t="b">
        <f t="shared" si="1"/>
        <v>1</v>
      </c>
      <c r="T106" s="6">
        <f>Table1[[#This Row],[Profit]]/Table1[[#This Row],[Sales]]</f>
        <v>0.35672514619883039</v>
      </c>
    </row>
    <row r="107" spans="1:20" x14ac:dyDescent="0.3">
      <c r="A107" t="s">
        <v>200</v>
      </c>
      <c r="B107" s="17">
        <v>45882</v>
      </c>
      <c r="C107" t="s">
        <v>90</v>
      </c>
      <c r="D107" t="s">
        <v>91</v>
      </c>
      <c r="E107" t="s">
        <v>88</v>
      </c>
      <c r="F107" t="s">
        <v>20</v>
      </c>
      <c r="G107" t="s">
        <v>21</v>
      </c>
      <c r="H107" t="s">
        <v>95</v>
      </c>
      <c r="I107">
        <v>1</v>
      </c>
      <c r="J107">
        <v>25000</v>
      </c>
      <c r="K107">
        <v>0</v>
      </c>
      <c r="L107">
        <v>25000</v>
      </c>
      <c r="M107">
        <v>20500</v>
      </c>
      <c r="N107">
        <v>4500</v>
      </c>
      <c r="O107" t="s">
        <v>97</v>
      </c>
      <c r="P107" t="s">
        <v>24</v>
      </c>
      <c r="Q107" t="str">
        <f>TEXT(Table1[[#This Row],[Order_Date]],"mmm")</f>
        <v>Aug</v>
      </c>
      <c r="R107" t="b">
        <f t="shared" si="1"/>
        <v>1</v>
      </c>
      <c r="T107" s="6">
        <f>Table1[[#This Row],[Profit]]/Table1[[#This Row],[Sales]]</f>
        <v>0.18</v>
      </c>
    </row>
    <row r="108" spans="1:20" x14ac:dyDescent="0.3">
      <c r="A108" t="s">
        <v>201</v>
      </c>
      <c r="B108" s="17">
        <v>45940</v>
      </c>
      <c r="C108" t="s">
        <v>26</v>
      </c>
      <c r="D108" t="s">
        <v>27</v>
      </c>
      <c r="E108" t="s">
        <v>88</v>
      </c>
      <c r="F108" t="s">
        <v>20</v>
      </c>
      <c r="G108" t="s">
        <v>28</v>
      </c>
      <c r="H108" t="s">
        <v>73</v>
      </c>
      <c r="I108">
        <v>2</v>
      </c>
      <c r="J108">
        <v>25000</v>
      </c>
      <c r="K108">
        <v>0</v>
      </c>
      <c r="L108">
        <v>50000</v>
      </c>
      <c r="M108">
        <v>41000</v>
      </c>
      <c r="N108">
        <v>9000</v>
      </c>
      <c r="O108" t="s">
        <v>58</v>
      </c>
      <c r="P108" t="s">
        <v>42</v>
      </c>
      <c r="Q108" t="str">
        <f>TEXT(Table1[[#This Row],[Order_Date]],"mmm")</f>
        <v>Oct</v>
      </c>
      <c r="R108" t="b">
        <f t="shared" si="1"/>
        <v>1</v>
      </c>
      <c r="T108" s="6">
        <f>Table1[[#This Row],[Profit]]/Table1[[#This Row],[Sales]]</f>
        <v>0.18</v>
      </c>
    </row>
    <row r="109" spans="1:20" x14ac:dyDescent="0.3">
      <c r="A109" t="s">
        <v>202</v>
      </c>
      <c r="B109" s="17">
        <v>45807</v>
      </c>
      <c r="C109" t="s">
        <v>83</v>
      </c>
      <c r="D109" t="s">
        <v>84</v>
      </c>
      <c r="E109" t="s">
        <v>67</v>
      </c>
      <c r="F109" t="s">
        <v>50</v>
      </c>
      <c r="G109" t="s">
        <v>35</v>
      </c>
      <c r="H109" t="s">
        <v>57</v>
      </c>
      <c r="I109">
        <v>3</v>
      </c>
      <c r="J109">
        <v>4500</v>
      </c>
      <c r="K109">
        <v>0.1</v>
      </c>
      <c r="L109">
        <v>12150</v>
      </c>
      <c r="M109">
        <v>9300</v>
      </c>
      <c r="N109">
        <v>2850</v>
      </c>
      <c r="O109" t="s">
        <v>58</v>
      </c>
      <c r="P109" t="s">
        <v>42</v>
      </c>
      <c r="Q109" t="str">
        <f>TEXT(Table1[[#This Row],[Order_Date]],"mmm")</f>
        <v>May</v>
      </c>
      <c r="R109" t="b">
        <f t="shared" si="1"/>
        <v>1</v>
      </c>
      <c r="T109" s="6">
        <f>Table1[[#This Row],[Profit]]/Table1[[#This Row],[Sales]]</f>
        <v>0.23456790123456789</v>
      </c>
    </row>
    <row r="110" spans="1:20" x14ac:dyDescent="0.3">
      <c r="A110" t="s">
        <v>203</v>
      </c>
      <c r="B110" s="17">
        <v>45940</v>
      </c>
      <c r="C110" t="s">
        <v>135</v>
      </c>
      <c r="D110" t="s">
        <v>136</v>
      </c>
      <c r="E110" t="s">
        <v>33</v>
      </c>
      <c r="F110" t="s">
        <v>34</v>
      </c>
      <c r="G110" t="s">
        <v>21</v>
      </c>
      <c r="H110" t="s">
        <v>22</v>
      </c>
      <c r="I110">
        <v>2</v>
      </c>
      <c r="J110">
        <v>7000</v>
      </c>
      <c r="K110">
        <v>0.05</v>
      </c>
      <c r="L110">
        <v>13300</v>
      </c>
      <c r="M110">
        <v>9600</v>
      </c>
      <c r="N110">
        <v>3700</v>
      </c>
      <c r="O110" t="s">
        <v>51</v>
      </c>
      <c r="P110" t="s">
        <v>42</v>
      </c>
      <c r="Q110" t="str">
        <f>TEXT(Table1[[#This Row],[Order_Date]],"mmm")</f>
        <v>Oct</v>
      </c>
      <c r="R110" t="b">
        <f t="shared" si="1"/>
        <v>1</v>
      </c>
      <c r="T110" s="6">
        <f>Table1[[#This Row],[Profit]]/Table1[[#This Row],[Sales]]</f>
        <v>0.2781954887218045</v>
      </c>
    </row>
    <row r="111" spans="1:20" x14ac:dyDescent="0.3">
      <c r="A111" t="s">
        <v>204</v>
      </c>
      <c r="B111" s="17">
        <v>45917</v>
      </c>
      <c r="C111" t="s">
        <v>132</v>
      </c>
      <c r="D111" t="s">
        <v>133</v>
      </c>
      <c r="E111" t="s">
        <v>60</v>
      </c>
      <c r="F111" t="s">
        <v>50</v>
      </c>
      <c r="G111" t="s">
        <v>40</v>
      </c>
      <c r="H111" t="s">
        <v>45</v>
      </c>
      <c r="I111">
        <v>1</v>
      </c>
      <c r="J111">
        <v>6000</v>
      </c>
      <c r="K111">
        <v>0.05</v>
      </c>
      <c r="L111">
        <v>5700</v>
      </c>
      <c r="M111">
        <v>4200</v>
      </c>
      <c r="N111">
        <v>1500</v>
      </c>
      <c r="O111" t="s">
        <v>51</v>
      </c>
      <c r="P111" t="s">
        <v>24</v>
      </c>
      <c r="Q111" t="str">
        <f>TEXT(Table1[[#This Row],[Order_Date]],"mmm")</f>
        <v>Sep</v>
      </c>
      <c r="R111" t="b">
        <f t="shared" si="1"/>
        <v>1</v>
      </c>
      <c r="T111" s="6">
        <f>Table1[[#This Row],[Profit]]/Table1[[#This Row],[Sales]]</f>
        <v>0.26315789473684209</v>
      </c>
    </row>
    <row r="112" spans="1:20" x14ac:dyDescent="0.3">
      <c r="A112" t="s">
        <v>205</v>
      </c>
      <c r="B112" s="17">
        <v>45886</v>
      </c>
      <c r="C112" t="s">
        <v>31</v>
      </c>
      <c r="D112" t="s">
        <v>32</v>
      </c>
      <c r="E112" t="s">
        <v>80</v>
      </c>
      <c r="F112" t="s">
        <v>81</v>
      </c>
      <c r="G112" t="s">
        <v>40</v>
      </c>
      <c r="H112" t="s">
        <v>45</v>
      </c>
      <c r="I112">
        <v>3</v>
      </c>
      <c r="J112">
        <v>1800</v>
      </c>
      <c r="K112">
        <v>0.15</v>
      </c>
      <c r="L112">
        <v>4590</v>
      </c>
      <c r="M112">
        <v>3300</v>
      </c>
      <c r="N112">
        <v>1290</v>
      </c>
      <c r="O112" t="s">
        <v>51</v>
      </c>
      <c r="P112" t="s">
        <v>42</v>
      </c>
      <c r="Q112" t="str">
        <f>TEXT(Table1[[#This Row],[Order_Date]],"mmm")</f>
        <v>Aug</v>
      </c>
      <c r="R112" t="b">
        <f t="shared" si="1"/>
        <v>1</v>
      </c>
      <c r="T112" s="6">
        <f>Table1[[#This Row],[Profit]]/Table1[[#This Row],[Sales]]</f>
        <v>0.28104575163398693</v>
      </c>
    </row>
    <row r="113" spans="1:20" x14ac:dyDescent="0.3">
      <c r="A113" t="s">
        <v>206</v>
      </c>
      <c r="B113" s="17">
        <v>45822</v>
      </c>
      <c r="C113" t="s">
        <v>207</v>
      </c>
      <c r="D113" t="s">
        <v>208</v>
      </c>
      <c r="E113" t="s">
        <v>67</v>
      </c>
      <c r="F113" t="s">
        <v>50</v>
      </c>
      <c r="G113" t="s">
        <v>35</v>
      </c>
      <c r="H113" t="s">
        <v>69</v>
      </c>
      <c r="I113">
        <v>2</v>
      </c>
      <c r="J113">
        <v>4500</v>
      </c>
      <c r="K113">
        <v>0.1</v>
      </c>
      <c r="L113">
        <v>8100</v>
      </c>
      <c r="M113">
        <v>6200</v>
      </c>
      <c r="N113">
        <v>1900</v>
      </c>
      <c r="O113" t="s">
        <v>23</v>
      </c>
      <c r="P113" t="s">
        <v>42</v>
      </c>
      <c r="Q113" t="str">
        <f>TEXT(Table1[[#This Row],[Order_Date]],"mmm")</f>
        <v>Jun</v>
      </c>
      <c r="R113" t="b">
        <f t="shared" si="1"/>
        <v>1</v>
      </c>
      <c r="T113" s="6">
        <f>Table1[[#This Row],[Profit]]/Table1[[#This Row],[Sales]]</f>
        <v>0.23456790123456789</v>
      </c>
    </row>
    <row r="114" spans="1:20" x14ac:dyDescent="0.3">
      <c r="A114" t="s">
        <v>209</v>
      </c>
      <c r="B114" s="17">
        <v>45900</v>
      </c>
      <c r="C114" t="s">
        <v>122</v>
      </c>
      <c r="D114" t="s">
        <v>123</v>
      </c>
      <c r="E114" t="s">
        <v>33</v>
      </c>
      <c r="F114" t="s">
        <v>34</v>
      </c>
      <c r="G114" t="s">
        <v>35</v>
      </c>
      <c r="H114" t="s">
        <v>69</v>
      </c>
      <c r="I114">
        <v>2</v>
      </c>
      <c r="J114">
        <v>7000</v>
      </c>
      <c r="K114">
        <v>0</v>
      </c>
      <c r="L114">
        <v>14000</v>
      </c>
      <c r="M114">
        <v>9600</v>
      </c>
      <c r="N114">
        <v>4400</v>
      </c>
      <c r="O114" t="s">
        <v>97</v>
      </c>
      <c r="P114" t="s">
        <v>24</v>
      </c>
      <c r="Q114" t="str">
        <f>TEXT(Table1[[#This Row],[Order_Date]],"mmm")</f>
        <v>Aug</v>
      </c>
      <c r="R114" t="b">
        <f t="shared" si="1"/>
        <v>1</v>
      </c>
      <c r="T114" s="6">
        <f>Table1[[#This Row],[Profit]]/Table1[[#This Row],[Sales]]</f>
        <v>0.31428571428571428</v>
      </c>
    </row>
    <row r="115" spans="1:20" x14ac:dyDescent="0.3">
      <c r="A115" t="s">
        <v>210</v>
      </c>
      <c r="B115" s="17">
        <v>45883</v>
      </c>
      <c r="C115" t="s">
        <v>17</v>
      </c>
      <c r="D115" t="s">
        <v>18</v>
      </c>
      <c r="E115" t="s">
        <v>116</v>
      </c>
      <c r="F115" t="s">
        <v>78</v>
      </c>
      <c r="G115" t="s">
        <v>28</v>
      </c>
      <c r="H115" t="s">
        <v>102</v>
      </c>
      <c r="I115">
        <v>4</v>
      </c>
      <c r="J115">
        <v>3000</v>
      </c>
      <c r="K115">
        <v>0</v>
      </c>
      <c r="L115">
        <v>12000</v>
      </c>
      <c r="M115">
        <v>7600</v>
      </c>
      <c r="N115">
        <v>4400</v>
      </c>
      <c r="O115" t="s">
        <v>51</v>
      </c>
      <c r="P115" t="s">
        <v>24</v>
      </c>
      <c r="Q115" t="str">
        <f>TEXT(Table1[[#This Row],[Order_Date]],"mmm")</f>
        <v>Aug</v>
      </c>
      <c r="R115" t="b">
        <f t="shared" si="1"/>
        <v>1</v>
      </c>
      <c r="T115" s="6">
        <f>Table1[[#This Row],[Profit]]/Table1[[#This Row],[Sales]]</f>
        <v>0.36666666666666664</v>
      </c>
    </row>
    <row r="116" spans="1:20" x14ac:dyDescent="0.3">
      <c r="A116" t="s">
        <v>211</v>
      </c>
      <c r="B116" s="17">
        <v>45696</v>
      </c>
      <c r="C116" t="s">
        <v>90</v>
      </c>
      <c r="D116" t="s">
        <v>91</v>
      </c>
      <c r="E116" t="s">
        <v>49</v>
      </c>
      <c r="F116" t="s">
        <v>50</v>
      </c>
      <c r="G116" t="s">
        <v>40</v>
      </c>
      <c r="H116" t="s">
        <v>45</v>
      </c>
      <c r="I116">
        <v>3</v>
      </c>
      <c r="J116">
        <v>3500</v>
      </c>
      <c r="K116">
        <v>0.1</v>
      </c>
      <c r="L116">
        <v>9450</v>
      </c>
      <c r="M116">
        <v>7200</v>
      </c>
      <c r="N116">
        <v>2250</v>
      </c>
      <c r="O116" t="s">
        <v>23</v>
      </c>
      <c r="P116" t="s">
        <v>42</v>
      </c>
      <c r="Q116" t="str">
        <f>TEXT(Table1[[#This Row],[Order_Date]],"mmm")</f>
        <v>Feb</v>
      </c>
      <c r="R116" t="b">
        <f t="shared" si="1"/>
        <v>1</v>
      </c>
      <c r="T116" s="6">
        <f>Table1[[#This Row],[Profit]]/Table1[[#This Row],[Sales]]</f>
        <v>0.23809523809523808</v>
      </c>
    </row>
    <row r="117" spans="1:20" x14ac:dyDescent="0.3">
      <c r="A117" t="s">
        <v>212</v>
      </c>
      <c r="B117" s="17">
        <v>46003</v>
      </c>
      <c r="C117" t="s">
        <v>31</v>
      </c>
      <c r="D117" t="s">
        <v>32</v>
      </c>
      <c r="E117" t="s">
        <v>33</v>
      </c>
      <c r="F117" t="s">
        <v>34</v>
      </c>
      <c r="G117" t="s">
        <v>35</v>
      </c>
      <c r="H117" t="s">
        <v>36</v>
      </c>
      <c r="I117">
        <v>3</v>
      </c>
      <c r="J117">
        <v>7000</v>
      </c>
      <c r="K117">
        <v>0</v>
      </c>
      <c r="L117">
        <v>21000</v>
      </c>
      <c r="M117">
        <v>14400</v>
      </c>
      <c r="N117">
        <v>6600</v>
      </c>
      <c r="O117" t="s">
        <v>23</v>
      </c>
      <c r="P117" t="s">
        <v>24</v>
      </c>
      <c r="Q117" t="str">
        <f>TEXT(Table1[[#This Row],[Order_Date]],"mmm")</f>
        <v>Dec</v>
      </c>
      <c r="R117" t="b">
        <f t="shared" si="1"/>
        <v>1</v>
      </c>
      <c r="T117" s="6">
        <f>Table1[[#This Row],[Profit]]/Table1[[#This Row],[Sales]]</f>
        <v>0.31428571428571428</v>
      </c>
    </row>
    <row r="118" spans="1:20" x14ac:dyDescent="0.3">
      <c r="A118" t="s">
        <v>213</v>
      </c>
      <c r="B118" s="17">
        <v>45981</v>
      </c>
      <c r="C118" t="s">
        <v>128</v>
      </c>
      <c r="D118" t="s">
        <v>129</v>
      </c>
      <c r="E118" t="s">
        <v>65</v>
      </c>
      <c r="F118" t="s">
        <v>20</v>
      </c>
      <c r="G118" t="s">
        <v>35</v>
      </c>
      <c r="H118" t="s">
        <v>69</v>
      </c>
      <c r="I118">
        <v>1</v>
      </c>
      <c r="J118">
        <v>5000</v>
      </c>
      <c r="K118">
        <v>0</v>
      </c>
      <c r="L118">
        <v>5000</v>
      </c>
      <c r="M118">
        <v>3500</v>
      </c>
      <c r="N118">
        <v>1500</v>
      </c>
      <c r="O118" t="s">
        <v>51</v>
      </c>
      <c r="P118" t="s">
        <v>24</v>
      </c>
      <c r="Q118" t="str">
        <f>TEXT(Table1[[#This Row],[Order_Date]],"mmm")</f>
        <v>Nov</v>
      </c>
      <c r="R118" t="b">
        <f t="shared" si="1"/>
        <v>1</v>
      </c>
      <c r="T118" s="6">
        <f>Table1[[#This Row],[Profit]]/Table1[[#This Row],[Sales]]</f>
        <v>0.3</v>
      </c>
    </row>
    <row r="119" spans="1:20" x14ac:dyDescent="0.3">
      <c r="A119" t="s">
        <v>214</v>
      </c>
      <c r="B119" s="17">
        <v>46013</v>
      </c>
      <c r="C119" t="s">
        <v>128</v>
      </c>
      <c r="D119" t="s">
        <v>129</v>
      </c>
      <c r="E119" t="s">
        <v>19</v>
      </c>
      <c r="F119" t="s">
        <v>20</v>
      </c>
      <c r="G119" t="s">
        <v>40</v>
      </c>
      <c r="H119" t="s">
        <v>41</v>
      </c>
      <c r="I119">
        <v>1</v>
      </c>
      <c r="J119">
        <v>55000</v>
      </c>
      <c r="K119">
        <v>0.05</v>
      </c>
      <c r="L119">
        <v>52250</v>
      </c>
      <c r="M119">
        <v>45000</v>
      </c>
      <c r="N119">
        <v>7250</v>
      </c>
      <c r="O119" t="s">
        <v>97</v>
      </c>
      <c r="P119" t="s">
        <v>42</v>
      </c>
      <c r="Q119" t="str">
        <f>TEXT(Table1[[#This Row],[Order_Date]],"mmm")</f>
        <v>Dec</v>
      </c>
      <c r="R119" t="b">
        <f t="shared" si="1"/>
        <v>1</v>
      </c>
      <c r="T119" s="6">
        <f>Table1[[#This Row],[Profit]]/Table1[[#This Row],[Sales]]</f>
        <v>0.13875598086124402</v>
      </c>
    </row>
    <row r="120" spans="1:20" x14ac:dyDescent="0.3">
      <c r="A120" t="s">
        <v>215</v>
      </c>
      <c r="B120" s="17">
        <v>45878</v>
      </c>
      <c r="C120" t="s">
        <v>135</v>
      </c>
      <c r="D120" t="s">
        <v>136</v>
      </c>
      <c r="E120" t="s">
        <v>65</v>
      </c>
      <c r="F120" t="s">
        <v>20</v>
      </c>
      <c r="G120" t="s">
        <v>35</v>
      </c>
      <c r="H120" t="s">
        <v>36</v>
      </c>
      <c r="I120">
        <v>5</v>
      </c>
      <c r="J120">
        <v>5000</v>
      </c>
      <c r="K120">
        <v>0</v>
      </c>
      <c r="L120">
        <v>25000</v>
      </c>
      <c r="M120">
        <v>17500</v>
      </c>
      <c r="N120">
        <v>7500</v>
      </c>
      <c r="O120" t="s">
        <v>58</v>
      </c>
      <c r="P120" t="s">
        <v>24</v>
      </c>
      <c r="Q120" t="str">
        <f>TEXT(Table1[[#This Row],[Order_Date]],"mmm")</f>
        <v>Aug</v>
      </c>
      <c r="R120" t="b">
        <f t="shared" si="1"/>
        <v>1</v>
      </c>
      <c r="T120" s="6">
        <f>Table1[[#This Row],[Profit]]/Table1[[#This Row],[Sales]]</f>
        <v>0.3</v>
      </c>
    </row>
    <row r="121" spans="1:20" x14ac:dyDescent="0.3">
      <c r="A121" t="s">
        <v>216</v>
      </c>
      <c r="B121" s="17">
        <v>45698</v>
      </c>
      <c r="C121" t="s">
        <v>93</v>
      </c>
      <c r="D121" t="s">
        <v>94</v>
      </c>
      <c r="E121" t="s">
        <v>60</v>
      </c>
      <c r="F121" t="s">
        <v>50</v>
      </c>
      <c r="G121" t="s">
        <v>21</v>
      </c>
      <c r="H121" t="s">
        <v>86</v>
      </c>
      <c r="I121">
        <v>4</v>
      </c>
      <c r="J121">
        <v>6000</v>
      </c>
      <c r="K121">
        <v>0.15</v>
      </c>
      <c r="L121">
        <v>20400</v>
      </c>
      <c r="M121">
        <v>16800</v>
      </c>
      <c r="N121">
        <v>3600</v>
      </c>
      <c r="O121" t="s">
        <v>58</v>
      </c>
      <c r="P121" t="s">
        <v>24</v>
      </c>
      <c r="Q121" t="str">
        <f>TEXT(Table1[[#This Row],[Order_Date]],"mmm")</f>
        <v>Feb</v>
      </c>
      <c r="R121" t="b">
        <f t="shared" si="1"/>
        <v>1</v>
      </c>
      <c r="T121" s="6">
        <f>Table1[[#This Row],[Profit]]/Table1[[#This Row],[Sales]]</f>
        <v>0.17647058823529413</v>
      </c>
    </row>
    <row r="122" spans="1:20" x14ac:dyDescent="0.3">
      <c r="A122" t="s">
        <v>217</v>
      </c>
      <c r="B122" s="17">
        <v>45894</v>
      </c>
      <c r="C122" t="s">
        <v>132</v>
      </c>
      <c r="D122" t="s">
        <v>133</v>
      </c>
      <c r="E122" t="s">
        <v>80</v>
      </c>
      <c r="F122" t="s">
        <v>81</v>
      </c>
      <c r="G122" t="s">
        <v>28</v>
      </c>
      <c r="H122" t="s">
        <v>73</v>
      </c>
      <c r="I122">
        <v>3</v>
      </c>
      <c r="J122">
        <v>1800</v>
      </c>
      <c r="K122">
        <v>0.05</v>
      </c>
      <c r="L122">
        <v>5130</v>
      </c>
      <c r="M122">
        <v>3300</v>
      </c>
      <c r="N122">
        <v>1830</v>
      </c>
      <c r="O122" t="s">
        <v>58</v>
      </c>
      <c r="P122" t="s">
        <v>24</v>
      </c>
      <c r="Q122" t="str">
        <f>TEXT(Table1[[#This Row],[Order_Date]],"mmm")</f>
        <v>Aug</v>
      </c>
      <c r="R122" t="b">
        <f t="shared" si="1"/>
        <v>1</v>
      </c>
      <c r="T122" s="6">
        <f>Table1[[#This Row],[Profit]]/Table1[[#This Row],[Sales]]</f>
        <v>0.35672514619883039</v>
      </c>
    </row>
    <row r="123" spans="1:20" x14ac:dyDescent="0.3">
      <c r="A123" t="s">
        <v>218</v>
      </c>
      <c r="B123" s="17">
        <v>45884</v>
      </c>
      <c r="C123" t="s">
        <v>53</v>
      </c>
      <c r="D123" t="s">
        <v>54</v>
      </c>
      <c r="E123" t="s">
        <v>85</v>
      </c>
      <c r="F123" t="s">
        <v>78</v>
      </c>
      <c r="G123" t="s">
        <v>35</v>
      </c>
      <c r="H123" t="s">
        <v>36</v>
      </c>
      <c r="I123">
        <v>3</v>
      </c>
      <c r="J123">
        <v>900</v>
      </c>
      <c r="K123">
        <v>0.05</v>
      </c>
      <c r="L123">
        <v>2565</v>
      </c>
      <c r="M123">
        <v>1500</v>
      </c>
      <c r="N123">
        <v>1065</v>
      </c>
      <c r="O123" t="s">
        <v>51</v>
      </c>
      <c r="P123" t="s">
        <v>42</v>
      </c>
      <c r="Q123" t="str">
        <f>TEXT(Table1[[#This Row],[Order_Date]],"mmm")</f>
        <v>Aug</v>
      </c>
      <c r="R123" t="b">
        <f t="shared" si="1"/>
        <v>1</v>
      </c>
      <c r="T123" s="6">
        <f>Table1[[#This Row],[Profit]]/Table1[[#This Row],[Sales]]</f>
        <v>0.41520467836257308</v>
      </c>
    </row>
    <row r="124" spans="1:20" x14ac:dyDescent="0.3">
      <c r="A124" t="s">
        <v>219</v>
      </c>
      <c r="B124" s="17">
        <v>45759</v>
      </c>
      <c r="C124" t="s">
        <v>122</v>
      </c>
      <c r="D124" t="s">
        <v>123</v>
      </c>
      <c r="E124" t="s">
        <v>60</v>
      </c>
      <c r="F124" t="s">
        <v>50</v>
      </c>
      <c r="G124" t="s">
        <v>28</v>
      </c>
      <c r="H124" t="s">
        <v>29</v>
      </c>
      <c r="I124">
        <v>4</v>
      </c>
      <c r="J124">
        <v>6000</v>
      </c>
      <c r="K124">
        <v>0.1</v>
      </c>
      <c r="L124">
        <v>21600</v>
      </c>
      <c r="M124">
        <v>16800</v>
      </c>
      <c r="N124">
        <v>4800</v>
      </c>
      <c r="O124" t="s">
        <v>97</v>
      </c>
      <c r="P124" t="s">
        <v>42</v>
      </c>
      <c r="Q124" t="str">
        <f>TEXT(Table1[[#This Row],[Order_Date]],"mmm")</f>
        <v>Apr</v>
      </c>
      <c r="R124" t="b">
        <f t="shared" si="1"/>
        <v>1</v>
      </c>
      <c r="T124" s="6">
        <f>Table1[[#This Row],[Profit]]/Table1[[#This Row],[Sales]]</f>
        <v>0.22222222222222221</v>
      </c>
    </row>
    <row r="125" spans="1:20" x14ac:dyDescent="0.3">
      <c r="A125" t="s">
        <v>220</v>
      </c>
      <c r="B125" s="17">
        <v>46016</v>
      </c>
      <c r="C125" t="s">
        <v>128</v>
      </c>
      <c r="D125" t="s">
        <v>129</v>
      </c>
      <c r="E125" t="s">
        <v>19</v>
      </c>
      <c r="F125" t="s">
        <v>20</v>
      </c>
      <c r="G125" t="s">
        <v>40</v>
      </c>
      <c r="H125" t="s">
        <v>41</v>
      </c>
      <c r="I125">
        <v>4</v>
      </c>
      <c r="J125">
        <v>55000</v>
      </c>
      <c r="K125">
        <v>0.15</v>
      </c>
      <c r="L125">
        <v>187000</v>
      </c>
      <c r="M125">
        <v>180000</v>
      </c>
      <c r="N125">
        <v>7000</v>
      </c>
      <c r="O125" t="s">
        <v>23</v>
      </c>
      <c r="P125" t="s">
        <v>42</v>
      </c>
      <c r="Q125" t="str">
        <f>TEXT(Table1[[#This Row],[Order_Date]],"mmm")</f>
        <v>Dec</v>
      </c>
      <c r="R125" t="b">
        <f t="shared" si="1"/>
        <v>1</v>
      </c>
      <c r="T125" s="6">
        <f>Table1[[#This Row],[Profit]]/Table1[[#This Row],[Sales]]</f>
        <v>3.7433155080213901E-2</v>
      </c>
    </row>
    <row r="126" spans="1:20" x14ac:dyDescent="0.3">
      <c r="A126" t="s">
        <v>221</v>
      </c>
      <c r="B126" s="17">
        <v>45804</v>
      </c>
      <c r="C126" t="s">
        <v>47</v>
      </c>
      <c r="D126" t="s">
        <v>48</v>
      </c>
      <c r="E126" t="s">
        <v>85</v>
      </c>
      <c r="F126" t="s">
        <v>78</v>
      </c>
      <c r="G126" t="s">
        <v>21</v>
      </c>
      <c r="H126" t="s">
        <v>95</v>
      </c>
      <c r="I126">
        <v>3</v>
      </c>
      <c r="J126">
        <v>900</v>
      </c>
      <c r="K126">
        <v>0</v>
      </c>
      <c r="L126">
        <v>2700</v>
      </c>
      <c r="M126">
        <v>1500</v>
      </c>
      <c r="N126">
        <v>1200</v>
      </c>
      <c r="O126" t="s">
        <v>97</v>
      </c>
      <c r="P126" t="s">
        <v>24</v>
      </c>
      <c r="Q126" t="str">
        <f>TEXT(Table1[[#This Row],[Order_Date]],"mmm")</f>
        <v>May</v>
      </c>
      <c r="R126" t="b">
        <f t="shared" si="1"/>
        <v>1</v>
      </c>
      <c r="T126" s="6">
        <f>Table1[[#This Row],[Profit]]/Table1[[#This Row],[Sales]]</f>
        <v>0.44444444444444442</v>
      </c>
    </row>
    <row r="127" spans="1:20" x14ac:dyDescent="0.3">
      <c r="A127" t="s">
        <v>222</v>
      </c>
      <c r="B127" s="17">
        <v>45979</v>
      </c>
      <c r="C127" t="s">
        <v>17</v>
      </c>
      <c r="D127" t="s">
        <v>18</v>
      </c>
      <c r="E127" t="s">
        <v>77</v>
      </c>
      <c r="F127" t="s">
        <v>78</v>
      </c>
      <c r="G127" t="s">
        <v>40</v>
      </c>
      <c r="H127" t="s">
        <v>61</v>
      </c>
      <c r="I127">
        <v>1</v>
      </c>
      <c r="J127">
        <v>1800</v>
      </c>
      <c r="K127">
        <v>0</v>
      </c>
      <c r="L127">
        <v>1800</v>
      </c>
      <c r="M127">
        <v>1100</v>
      </c>
      <c r="N127">
        <v>700</v>
      </c>
      <c r="O127" t="s">
        <v>97</v>
      </c>
      <c r="P127" t="s">
        <v>24</v>
      </c>
      <c r="Q127" t="str">
        <f>TEXT(Table1[[#This Row],[Order_Date]],"mmm")</f>
        <v>Nov</v>
      </c>
      <c r="R127" t="b">
        <f t="shared" si="1"/>
        <v>1</v>
      </c>
      <c r="T127" s="6">
        <f>Table1[[#This Row],[Profit]]/Table1[[#This Row],[Sales]]</f>
        <v>0.3888888888888889</v>
      </c>
    </row>
    <row r="128" spans="1:20" x14ac:dyDescent="0.3">
      <c r="A128" t="s">
        <v>223</v>
      </c>
      <c r="B128" s="17">
        <v>45704</v>
      </c>
      <c r="C128" t="s">
        <v>128</v>
      </c>
      <c r="D128" t="s">
        <v>129</v>
      </c>
      <c r="E128" t="s">
        <v>38</v>
      </c>
      <c r="F128" t="s">
        <v>34</v>
      </c>
      <c r="G128" t="s">
        <v>21</v>
      </c>
      <c r="H128" t="s">
        <v>22</v>
      </c>
      <c r="I128">
        <v>4</v>
      </c>
      <c r="J128">
        <v>12000</v>
      </c>
      <c r="K128">
        <v>0</v>
      </c>
      <c r="L128">
        <v>48000</v>
      </c>
      <c r="M128">
        <v>34000</v>
      </c>
      <c r="N128">
        <v>14000</v>
      </c>
      <c r="O128" t="s">
        <v>97</v>
      </c>
      <c r="P128" t="s">
        <v>42</v>
      </c>
      <c r="Q128" t="str">
        <f>TEXT(Table1[[#This Row],[Order_Date]],"mmm")</f>
        <v>Feb</v>
      </c>
      <c r="R128" t="b">
        <f t="shared" si="1"/>
        <v>1</v>
      </c>
      <c r="T128" s="6">
        <f>Table1[[#This Row],[Profit]]/Table1[[#This Row],[Sales]]</f>
        <v>0.29166666666666669</v>
      </c>
    </row>
    <row r="129" spans="1:20" x14ac:dyDescent="0.3">
      <c r="A129" t="s">
        <v>224</v>
      </c>
      <c r="B129" s="17">
        <v>45742</v>
      </c>
      <c r="C129" t="s">
        <v>132</v>
      </c>
      <c r="D129" t="s">
        <v>133</v>
      </c>
      <c r="E129" t="s">
        <v>60</v>
      </c>
      <c r="F129" t="s">
        <v>50</v>
      </c>
      <c r="G129" t="s">
        <v>40</v>
      </c>
      <c r="H129" t="s">
        <v>45</v>
      </c>
      <c r="I129">
        <v>4</v>
      </c>
      <c r="J129">
        <v>6000</v>
      </c>
      <c r="K129">
        <v>0.05</v>
      </c>
      <c r="L129">
        <v>22800</v>
      </c>
      <c r="M129">
        <v>16800</v>
      </c>
      <c r="N129">
        <v>6000</v>
      </c>
      <c r="O129" t="s">
        <v>23</v>
      </c>
      <c r="P129" t="s">
        <v>42</v>
      </c>
      <c r="Q129" t="str">
        <f>TEXT(Table1[[#This Row],[Order_Date]],"mmm")</f>
        <v>Mar</v>
      </c>
      <c r="R129" t="b">
        <f t="shared" si="1"/>
        <v>1</v>
      </c>
      <c r="T129" s="6">
        <f>Table1[[#This Row],[Profit]]/Table1[[#This Row],[Sales]]</f>
        <v>0.26315789473684209</v>
      </c>
    </row>
    <row r="130" spans="1:20" x14ac:dyDescent="0.3">
      <c r="A130" t="s">
        <v>225</v>
      </c>
      <c r="B130" s="17">
        <v>45696</v>
      </c>
      <c r="C130" t="s">
        <v>135</v>
      </c>
      <c r="D130" t="s">
        <v>136</v>
      </c>
      <c r="E130" t="s">
        <v>49</v>
      </c>
      <c r="F130" t="s">
        <v>50</v>
      </c>
      <c r="G130" t="s">
        <v>35</v>
      </c>
      <c r="H130" t="s">
        <v>36</v>
      </c>
      <c r="I130">
        <v>2</v>
      </c>
      <c r="J130">
        <v>3500</v>
      </c>
      <c r="K130">
        <v>0.05</v>
      </c>
      <c r="L130">
        <v>6650</v>
      </c>
      <c r="M130">
        <v>4800</v>
      </c>
      <c r="N130">
        <v>1850</v>
      </c>
      <c r="O130" t="s">
        <v>23</v>
      </c>
      <c r="P130" t="s">
        <v>42</v>
      </c>
      <c r="Q130" t="str">
        <f>TEXT(Table1[[#This Row],[Order_Date]],"mmm")</f>
        <v>Feb</v>
      </c>
      <c r="R130" t="b">
        <f t="shared" ref="R130:R193" si="2">ISNUMBER(B130)</f>
        <v>1</v>
      </c>
      <c r="T130" s="6">
        <f>Table1[[#This Row],[Profit]]/Table1[[#This Row],[Sales]]</f>
        <v>0.2781954887218045</v>
      </c>
    </row>
    <row r="131" spans="1:20" x14ac:dyDescent="0.3">
      <c r="A131" t="s">
        <v>226</v>
      </c>
      <c r="B131" s="17">
        <v>45665</v>
      </c>
      <c r="C131" t="s">
        <v>132</v>
      </c>
      <c r="D131" t="s">
        <v>133</v>
      </c>
      <c r="E131" t="s">
        <v>116</v>
      </c>
      <c r="F131" t="s">
        <v>78</v>
      </c>
      <c r="G131" t="s">
        <v>35</v>
      </c>
      <c r="H131" t="s">
        <v>57</v>
      </c>
      <c r="I131">
        <v>1</v>
      </c>
      <c r="J131">
        <v>3000</v>
      </c>
      <c r="K131">
        <v>0.05</v>
      </c>
      <c r="L131">
        <v>2850</v>
      </c>
      <c r="M131">
        <v>1900</v>
      </c>
      <c r="N131">
        <v>950</v>
      </c>
      <c r="O131" t="s">
        <v>51</v>
      </c>
      <c r="P131" t="s">
        <v>42</v>
      </c>
      <c r="Q131" t="str">
        <f>TEXT(Table1[[#This Row],[Order_Date]],"mmm")</f>
        <v>Jan</v>
      </c>
      <c r="R131" t="b">
        <f t="shared" si="2"/>
        <v>1</v>
      </c>
      <c r="T131" s="6">
        <f>Table1[[#This Row],[Profit]]/Table1[[#This Row],[Sales]]</f>
        <v>0.33333333333333331</v>
      </c>
    </row>
    <row r="132" spans="1:20" x14ac:dyDescent="0.3">
      <c r="A132" t="s">
        <v>227</v>
      </c>
      <c r="B132" s="17">
        <v>45713</v>
      </c>
      <c r="C132" t="s">
        <v>47</v>
      </c>
      <c r="D132" t="s">
        <v>48</v>
      </c>
      <c r="E132" t="s">
        <v>80</v>
      </c>
      <c r="F132" t="s">
        <v>81</v>
      </c>
      <c r="G132" t="s">
        <v>40</v>
      </c>
      <c r="H132" t="s">
        <v>45</v>
      </c>
      <c r="I132">
        <v>1</v>
      </c>
      <c r="J132">
        <v>1800</v>
      </c>
      <c r="K132">
        <v>0</v>
      </c>
      <c r="L132">
        <v>1800</v>
      </c>
      <c r="M132">
        <v>1100</v>
      </c>
      <c r="N132">
        <v>700</v>
      </c>
      <c r="O132" t="s">
        <v>23</v>
      </c>
      <c r="P132" t="s">
        <v>42</v>
      </c>
      <c r="Q132" t="str">
        <f>TEXT(Table1[[#This Row],[Order_Date]],"mmm")</f>
        <v>Feb</v>
      </c>
      <c r="R132" t="b">
        <f t="shared" si="2"/>
        <v>1</v>
      </c>
      <c r="T132" s="6">
        <f>Table1[[#This Row],[Profit]]/Table1[[#This Row],[Sales]]</f>
        <v>0.3888888888888889</v>
      </c>
    </row>
    <row r="133" spans="1:20" x14ac:dyDescent="0.3">
      <c r="A133" t="s">
        <v>228</v>
      </c>
      <c r="B133" s="17">
        <v>46016</v>
      </c>
      <c r="C133" t="s">
        <v>128</v>
      </c>
      <c r="D133" t="s">
        <v>129</v>
      </c>
      <c r="E133" t="s">
        <v>77</v>
      </c>
      <c r="F133" t="s">
        <v>78</v>
      </c>
      <c r="G133" t="s">
        <v>28</v>
      </c>
      <c r="H133" t="s">
        <v>29</v>
      </c>
      <c r="I133">
        <v>4</v>
      </c>
      <c r="J133">
        <v>1800</v>
      </c>
      <c r="K133">
        <v>0</v>
      </c>
      <c r="L133">
        <v>7200</v>
      </c>
      <c r="M133">
        <v>4400</v>
      </c>
      <c r="N133">
        <v>2800</v>
      </c>
      <c r="O133" t="s">
        <v>23</v>
      </c>
      <c r="P133" t="s">
        <v>42</v>
      </c>
      <c r="Q133" t="str">
        <f>TEXT(Table1[[#This Row],[Order_Date]],"mmm")</f>
        <v>Dec</v>
      </c>
      <c r="R133" t="b">
        <f t="shared" si="2"/>
        <v>1</v>
      </c>
      <c r="T133" s="6">
        <f>Table1[[#This Row],[Profit]]/Table1[[#This Row],[Sales]]</f>
        <v>0.3888888888888889</v>
      </c>
    </row>
    <row r="134" spans="1:20" x14ac:dyDescent="0.3">
      <c r="A134" t="s">
        <v>229</v>
      </c>
      <c r="B134" s="17">
        <v>45910</v>
      </c>
      <c r="C134" t="s">
        <v>17</v>
      </c>
      <c r="D134" t="s">
        <v>18</v>
      </c>
      <c r="E134" t="s">
        <v>88</v>
      </c>
      <c r="F134" t="s">
        <v>20</v>
      </c>
      <c r="G134" t="s">
        <v>21</v>
      </c>
      <c r="H134" t="s">
        <v>86</v>
      </c>
      <c r="I134">
        <v>2</v>
      </c>
      <c r="J134">
        <v>25000</v>
      </c>
      <c r="K134">
        <v>0.1</v>
      </c>
      <c r="L134">
        <v>45000</v>
      </c>
      <c r="M134">
        <v>41000</v>
      </c>
      <c r="N134">
        <v>4000</v>
      </c>
      <c r="O134" t="s">
        <v>97</v>
      </c>
      <c r="P134" t="s">
        <v>42</v>
      </c>
      <c r="Q134" t="str">
        <f>TEXT(Table1[[#This Row],[Order_Date]],"mmm")</f>
        <v>Sep</v>
      </c>
      <c r="R134" t="b">
        <f t="shared" si="2"/>
        <v>1</v>
      </c>
      <c r="T134" s="6">
        <f>Table1[[#This Row],[Profit]]/Table1[[#This Row],[Sales]]</f>
        <v>8.8888888888888892E-2</v>
      </c>
    </row>
    <row r="135" spans="1:20" x14ac:dyDescent="0.3">
      <c r="A135" t="s">
        <v>230</v>
      </c>
      <c r="B135" s="17">
        <v>45958</v>
      </c>
      <c r="C135" t="s">
        <v>135</v>
      </c>
      <c r="D135" t="s">
        <v>136</v>
      </c>
      <c r="E135" t="s">
        <v>33</v>
      </c>
      <c r="F135" t="s">
        <v>34</v>
      </c>
      <c r="G135" t="s">
        <v>35</v>
      </c>
      <c r="H135" t="s">
        <v>36</v>
      </c>
      <c r="I135">
        <v>1</v>
      </c>
      <c r="J135">
        <v>7000</v>
      </c>
      <c r="K135">
        <v>0.1</v>
      </c>
      <c r="L135">
        <v>6300</v>
      </c>
      <c r="M135">
        <v>4800</v>
      </c>
      <c r="N135">
        <v>1500</v>
      </c>
      <c r="O135" t="s">
        <v>97</v>
      </c>
      <c r="P135" t="s">
        <v>24</v>
      </c>
      <c r="Q135" t="str">
        <f>TEXT(Table1[[#This Row],[Order_Date]],"mmm")</f>
        <v>Oct</v>
      </c>
      <c r="R135" t="b">
        <f t="shared" si="2"/>
        <v>1</v>
      </c>
      <c r="T135" s="6">
        <f>Table1[[#This Row],[Profit]]/Table1[[#This Row],[Sales]]</f>
        <v>0.23809523809523808</v>
      </c>
    </row>
    <row r="136" spans="1:20" x14ac:dyDescent="0.3">
      <c r="A136" t="s">
        <v>231</v>
      </c>
      <c r="B136" s="17">
        <v>46011</v>
      </c>
      <c r="C136" t="s">
        <v>53</v>
      </c>
      <c r="D136" t="s">
        <v>54</v>
      </c>
      <c r="E136" t="s">
        <v>65</v>
      </c>
      <c r="F136" t="s">
        <v>20</v>
      </c>
      <c r="G136" t="s">
        <v>35</v>
      </c>
      <c r="H136" t="s">
        <v>69</v>
      </c>
      <c r="I136">
        <v>4</v>
      </c>
      <c r="J136">
        <v>5000</v>
      </c>
      <c r="K136">
        <v>0.05</v>
      </c>
      <c r="L136">
        <v>19000</v>
      </c>
      <c r="M136">
        <v>14000</v>
      </c>
      <c r="N136">
        <v>5000</v>
      </c>
      <c r="O136" t="s">
        <v>23</v>
      </c>
      <c r="P136" t="s">
        <v>42</v>
      </c>
      <c r="Q136" t="str">
        <f>TEXT(Table1[[#This Row],[Order_Date]],"mmm")</f>
        <v>Dec</v>
      </c>
      <c r="R136" t="b">
        <f t="shared" si="2"/>
        <v>1</v>
      </c>
      <c r="T136" s="6">
        <f>Table1[[#This Row],[Profit]]/Table1[[#This Row],[Sales]]</f>
        <v>0.26315789473684209</v>
      </c>
    </row>
    <row r="137" spans="1:20" x14ac:dyDescent="0.3">
      <c r="A137" t="s">
        <v>232</v>
      </c>
      <c r="B137" s="17">
        <v>45936</v>
      </c>
      <c r="C137" t="s">
        <v>53</v>
      </c>
      <c r="D137" t="s">
        <v>54</v>
      </c>
      <c r="E137" t="s">
        <v>19</v>
      </c>
      <c r="F137" t="s">
        <v>20</v>
      </c>
      <c r="G137" t="s">
        <v>40</v>
      </c>
      <c r="H137" t="s">
        <v>41</v>
      </c>
      <c r="I137">
        <v>4</v>
      </c>
      <c r="J137">
        <v>55000</v>
      </c>
      <c r="K137">
        <v>0</v>
      </c>
      <c r="L137">
        <v>220000</v>
      </c>
      <c r="M137">
        <v>180000</v>
      </c>
      <c r="N137">
        <v>40000</v>
      </c>
      <c r="O137" t="s">
        <v>51</v>
      </c>
      <c r="P137" t="s">
        <v>24</v>
      </c>
      <c r="Q137" t="str">
        <f>TEXT(Table1[[#This Row],[Order_Date]],"mmm")</f>
        <v>Oct</v>
      </c>
      <c r="R137" t="b">
        <f t="shared" si="2"/>
        <v>1</v>
      </c>
      <c r="T137" s="6">
        <f>Table1[[#This Row],[Profit]]/Table1[[#This Row],[Sales]]</f>
        <v>0.18181818181818182</v>
      </c>
    </row>
    <row r="138" spans="1:20" x14ac:dyDescent="0.3">
      <c r="A138" t="s">
        <v>233</v>
      </c>
      <c r="B138" s="17">
        <v>45997</v>
      </c>
      <c r="C138" t="s">
        <v>207</v>
      </c>
      <c r="D138" t="s">
        <v>208</v>
      </c>
      <c r="E138" t="s">
        <v>77</v>
      </c>
      <c r="F138" t="s">
        <v>78</v>
      </c>
      <c r="G138" t="s">
        <v>28</v>
      </c>
      <c r="H138" t="s">
        <v>29</v>
      </c>
      <c r="I138">
        <v>5</v>
      </c>
      <c r="J138">
        <v>1800</v>
      </c>
      <c r="K138">
        <v>0.05</v>
      </c>
      <c r="L138">
        <v>8550</v>
      </c>
      <c r="M138">
        <v>5500</v>
      </c>
      <c r="N138">
        <v>3050</v>
      </c>
      <c r="O138" t="s">
        <v>58</v>
      </c>
      <c r="P138" t="s">
        <v>24</v>
      </c>
      <c r="Q138" t="str">
        <f>TEXT(Table1[[#This Row],[Order_Date]],"mmm")</f>
        <v>Dec</v>
      </c>
      <c r="R138" t="b">
        <f t="shared" si="2"/>
        <v>1</v>
      </c>
      <c r="T138" s="6">
        <f>Table1[[#This Row],[Profit]]/Table1[[#This Row],[Sales]]</f>
        <v>0.35672514619883039</v>
      </c>
    </row>
    <row r="139" spans="1:20" x14ac:dyDescent="0.3">
      <c r="A139" t="s">
        <v>234</v>
      </c>
      <c r="B139" s="17">
        <v>45947</v>
      </c>
      <c r="C139" t="s">
        <v>207</v>
      </c>
      <c r="D139" t="s">
        <v>208</v>
      </c>
      <c r="E139" t="s">
        <v>88</v>
      </c>
      <c r="F139" t="s">
        <v>20</v>
      </c>
      <c r="G139" t="s">
        <v>21</v>
      </c>
      <c r="H139" t="s">
        <v>95</v>
      </c>
      <c r="I139">
        <v>5</v>
      </c>
      <c r="J139">
        <v>25000</v>
      </c>
      <c r="K139">
        <v>0</v>
      </c>
      <c r="L139">
        <v>125000</v>
      </c>
      <c r="M139">
        <v>102500</v>
      </c>
      <c r="N139">
        <v>22500</v>
      </c>
      <c r="O139" t="s">
        <v>58</v>
      </c>
      <c r="P139" t="s">
        <v>42</v>
      </c>
      <c r="Q139" t="str">
        <f>TEXT(Table1[[#This Row],[Order_Date]],"mmm")</f>
        <v>Oct</v>
      </c>
      <c r="R139" t="b">
        <f t="shared" si="2"/>
        <v>1</v>
      </c>
      <c r="T139" s="6">
        <f>Table1[[#This Row],[Profit]]/Table1[[#This Row],[Sales]]</f>
        <v>0.18</v>
      </c>
    </row>
    <row r="140" spans="1:20" x14ac:dyDescent="0.3">
      <c r="A140" t="s">
        <v>235</v>
      </c>
      <c r="B140" s="17">
        <v>45733</v>
      </c>
      <c r="C140" t="s">
        <v>93</v>
      </c>
      <c r="D140" t="s">
        <v>94</v>
      </c>
      <c r="E140" t="s">
        <v>19</v>
      </c>
      <c r="F140" t="s">
        <v>20</v>
      </c>
      <c r="G140" t="s">
        <v>21</v>
      </c>
      <c r="H140" t="s">
        <v>22</v>
      </c>
      <c r="I140">
        <v>3</v>
      </c>
      <c r="J140">
        <v>55000</v>
      </c>
      <c r="K140">
        <v>0.15</v>
      </c>
      <c r="L140">
        <v>140250</v>
      </c>
      <c r="M140">
        <v>135000</v>
      </c>
      <c r="N140">
        <v>5250</v>
      </c>
      <c r="O140" t="s">
        <v>97</v>
      </c>
      <c r="P140" t="s">
        <v>24</v>
      </c>
      <c r="Q140" t="str">
        <f>TEXT(Table1[[#This Row],[Order_Date]],"mmm")</f>
        <v>Mar</v>
      </c>
      <c r="R140" t="b">
        <f t="shared" si="2"/>
        <v>1</v>
      </c>
      <c r="T140" s="6">
        <f>Table1[[#This Row],[Profit]]/Table1[[#This Row],[Sales]]</f>
        <v>3.7433155080213901E-2</v>
      </c>
    </row>
    <row r="141" spans="1:20" x14ac:dyDescent="0.3">
      <c r="A141" t="s">
        <v>236</v>
      </c>
      <c r="B141" s="17">
        <v>45714</v>
      </c>
      <c r="C141" t="s">
        <v>75</v>
      </c>
      <c r="D141" t="s">
        <v>76</v>
      </c>
      <c r="E141" t="s">
        <v>55</v>
      </c>
      <c r="F141" t="s">
        <v>20</v>
      </c>
      <c r="G141" t="s">
        <v>40</v>
      </c>
      <c r="H141" t="s">
        <v>41</v>
      </c>
      <c r="I141">
        <v>1</v>
      </c>
      <c r="J141">
        <v>2500</v>
      </c>
      <c r="K141">
        <v>0.15</v>
      </c>
      <c r="L141">
        <v>2125</v>
      </c>
      <c r="M141">
        <v>1700</v>
      </c>
      <c r="N141">
        <v>425</v>
      </c>
      <c r="O141" t="s">
        <v>97</v>
      </c>
      <c r="P141" t="s">
        <v>24</v>
      </c>
      <c r="Q141" t="str">
        <f>TEXT(Table1[[#This Row],[Order_Date]],"mmm")</f>
        <v>Feb</v>
      </c>
      <c r="R141" t="b">
        <f t="shared" si="2"/>
        <v>1</v>
      </c>
      <c r="T141" s="6">
        <f>Table1[[#This Row],[Profit]]/Table1[[#This Row],[Sales]]</f>
        <v>0.2</v>
      </c>
    </row>
    <row r="142" spans="1:20" x14ac:dyDescent="0.3">
      <c r="A142" t="s">
        <v>237</v>
      </c>
      <c r="B142" s="17">
        <v>45747</v>
      </c>
      <c r="C142" t="s">
        <v>132</v>
      </c>
      <c r="D142" t="s">
        <v>133</v>
      </c>
      <c r="E142" t="s">
        <v>19</v>
      </c>
      <c r="F142" t="s">
        <v>20</v>
      </c>
      <c r="G142" t="s">
        <v>35</v>
      </c>
      <c r="H142" t="s">
        <v>36</v>
      </c>
      <c r="I142">
        <v>2</v>
      </c>
      <c r="J142">
        <v>55000</v>
      </c>
      <c r="K142">
        <v>0</v>
      </c>
      <c r="L142">
        <v>110000</v>
      </c>
      <c r="M142">
        <v>90000</v>
      </c>
      <c r="N142">
        <v>20000</v>
      </c>
      <c r="O142" t="s">
        <v>23</v>
      </c>
      <c r="P142" t="s">
        <v>42</v>
      </c>
      <c r="Q142" t="str">
        <f>TEXT(Table1[[#This Row],[Order_Date]],"mmm")</f>
        <v>Mar</v>
      </c>
      <c r="R142" t="b">
        <f t="shared" si="2"/>
        <v>1</v>
      </c>
      <c r="T142" s="6">
        <f>Table1[[#This Row],[Profit]]/Table1[[#This Row],[Sales]]</f>
        <v>0.18181818181818182</v>
      </c>
    </row>
    <row r="143" spans="1:20" x14ac:dyDescent="0.3">
      <c r="A143" t="s">
        <v>238</v>
      </c>
      <c r="B143" s="17">
        <v>45887</v>
      </c>
      <c r="C143" t="s">
        <v>53</v>
      </c>
      <c r="D143" t="s">
        <v>54</v>
      </c>
      <c r="E143" t="s">
        <v>116</v>
      </c>
      <c r="F143" t="s">
        <v>78</v>
      </c>
      <c r="G143" t="s">
        <v>28</v>
      </c>
      <c r="H143" t="s">
        <v>73</v>
      </c>
      <c r="I143">
        <v>5</v>
      </c>
      <c r="J143">
        <v>3000</v>
      </c>
      <c r="K143">
        <v>0.15</v>
      </c>
      <c r="L143">
        <v>12750</v>
      </c>
      <c r="M143">
        <v>9500</v>
      </c>
      <c r="N143">
        <v>3250</v>
      </c>
      <c r="O143" t="s">
        <v>58</v>
      </c>
      <c r="P143" t="s">
        <v>24</v>
      </c>
      <c r="Q143" t="str">
        <f>TEXT(Table1[[#This Row],[Order_Date]],"mmm")</f>
        <v>Aug</v>
      </c>
      <c r="R143" t="b">
        <f t="shared" si="2"/>
        <v>1</v>
      </c>
      <c r="T143" s="6">
        <f>Table1[[#This Row],[Profit]]/Table1[[#This Row],[Sales]]</f>
        <v>0.25490196078431371</v>
      </c>
    </row>
    <row r="144" spans="1:20" x14ac:dyDescent="0.3">
      <c r="A144" t="s">
        <v>239</v>
      </c>
      <c r="B144" s="17">
        <v>45995</v>
      </c>
      <c r="C144" t="s">
        <v>83</v>
      </c>
      <c r="D144" t="s">
        <v>84</v>
      </c>
      <c r="E144" t="s">
        <v>44</v>
      </c>
      <c r="F144" t="s">
        <v>34</v>
      </c>
      <c r="G144" t="s">
        <v>28</v>
      </c>
      <c r="H144" t="s">
        <v>29</v>
      </c>
      <c r="I144">
        <v>4</v>
      </c>
      <c r="J144">
        <v>8000</v>
      </c>
      <c r="K144">
        <v>0.1</v>
      </c>
      <c r="L144">
        <v>28800</v>
      </c>
      <c r="M144">
        <v>22400</v>
      </c>
      <c r="N144">
        <v>6400</v>
      </c>
      <c r="O144" t="s">
        <v>51</v>
      </c>
      <c r="P144" t="s">
        <v>42</v>
      </c>
      <c r="Q144" t="str">
        <f>TEXT(Table1[[#This Row],[Order_Date]],"mmm")</f>
        <v>Dec</v>
      </c>
      <c r="R144" t="b">
        <f t="shared" si="2"/>
        <v>1</v>
      </c>
      <c r="T144" s="6">
        <f>Table1[[#This Row],[Profit]]/Table1[[#This Row],[Sales]]</f>
        <v>0.22222222222222221</v>
      </c>
    </row>
    <row r="145" spans="1:20" x14ac:dyDescent="0.3">
      <c r="A145" t="s">
        <v>240</v>
      </c>
      <c r="B145" s="17">
        <v>46009</v>
      </c>
      <c r="C145" t="s">
        <v>17</v>
      </c>
      <c r="D145" t="s">
        <v>18</v>
      </c>
      <c r="E145" t="s">
        <v>80</v>
      </c>
      <c r="F145" t="s">
        <v>81</v>
      </c>
      <c r="G145" t="s">
        <v>28</v>
      </c>
      <c r="H145" t="s">
        <v>29</v>
      </c>
      <c r="I145">
        <v>4</v>
      </c>
      <c r="J145">
        <v>1800</v>
      </c>
      <c r="K145">
        <v>0.05</v>
      </c>
      <c r="L145">
        <v>6840</v>
      </c>
      <c r="M145">
        <v>4400</v>
      </c>
      <c r="N145">
        <v>2440</v>
      </c>
      <c r="O145" t="s">
        <v>58</v>
      </c>
      <c r="P145" t="s">
        <v>24</v>
      </c>
      <c r="Q145" t="str">
        <f>TEXT(Table1[[#This Row],[Order_Date]],"mmm")</f>
        <v>Dec</v>
      </c>
      <c r="R145" t="b">
        <f t="shared" si="2"/>
        <v>1</v>
      </c>
      <c r="T145" s="6">
        <f>Table1[[#This Row],[Profit]]/Table1[[#This Row],[Sales]]</f>
        <v>0.35672514619883039</v>
      </c>
    </row>
    <row r="146" spans="1:20" x14ac:dyDescent="0.3">
      <c r="A146" t="s">
        <v>241</v>
      </c>
      <c r="B146" s="17">
        <v>45722</v>
      </c>
      <c r="C146" t="s">
        <v>132</v>
      </c>
      <c r="D146" t="s">
        <v>133</v>
      </c>
      <c r="E146" t="s">
        <v>85</v>
      </c>
      <c r="F146" t="s">
        <v>78</v>
      </c>
      <c r="G146" t="s">
        <v>40</v>
      </c>
      <c r="H146" t="s">
        <v>61</v>
      </c>
      <c r="I146">
        <v>5</v>
      </c>
      <c r="J146">
        <v>900</v>
      </c>
      <c r="K146">
        <v>0.15</v>
      </c>
      <c r="L146">
        <v>3825</v>
      </c>
      <c r="M146">
        <v>2500</v>
      </c>
      <c r="N146">
        <v>1325</v>
      </c>
      <c r="O146" t="s">
        <v>97</v>
      </c>
      <c r="P146" t="s">
        <v>42</v>
      </c>
      <c r="Q146" t="str">
        <f>TEXT(Table1[[#This Row],[Order_Date]],"mmm")</f>
        <v>Mar</v>
      </c>
      <c r="R146" t="b">
        <f t="shared" si="2"/>
        <v>1</v>
      </c>
      <c r="T146" s="6">
        <f>Table1[[#This Row],[Profit]]/Table1[[#This Row],[Sales]]</f>
        <v>0.34640522875816993</v>
      </c>
    </row>
    <row r="147" spans="1:20" x14ac:dyDescent="0.3">
      <c r="A147" t="s">
        <v>242</v>
      </c>
      <c r="B147" s="17">
        <v>45916</v>
      </c>
      <c r="C147" t="s">
        <v>93</v>
      </c>
      <c r="D147" t="s">
        <v>94</v>
      </c>
      <c r="E147" t="s">
        <v>33</v>
      </c>
      <c r="F147" t="s">
        <v>34</v>
      </c>
      <c r="G147" t="s">
        <v>28</v>
      </c>
      <c r="H147" t="s">
        <v>102</v>
      </c>
      <c r="I147">
        <v>1</v>
      </c>
      <c r="J147">
        <v>7000</v>
      </c>
      <c r="K147">
        <v>0.15</v>
      </c>
      <c r="L147">
        <v>5950</v>
      </c>
      <c r="M147">
        <v>4800</v>
      </c>
      <c r="N147">
        <v>1150</v>
      </c>
      <c r="O147" t="s">
        <v>58</v>
      </c>
      <c r="P147" t="s">
        <v>42</v>
      </c>
      <c r="Q147" t="str">
        <f>TEXT(Table1[[#This Row],[Order_Date]],"mmm")</f>
        <v>Sep</v>
      </c>
      <c r="R147" t="b">
        <f t="shared" si="2"/>
        <v>1</v>
      </c>
      <c r="T147" s="6">
        <f>Table1[[#This Row],[Profit]]/Table1[[#This Row],[Sales]]</f>
        <v>0.19327731092436976</v>
      </c>
    </row>
    <row r="148" spans="1:20" x14ac:dyDescent="0.3">
      <c r="A148" t="s">
        <v>243</v>
      </c>
      <c r="B148" s="17">
        <v>45889</v>
      </c>
      <c r="C148" t="s">
        <v>47</v>
      </c>
      <c r="D148" t="s">
        <v>48</v>
      </c>
      <c r="E148" t="s">
        <v>33</v>
      </c>
      <c r="F148" t="s">
        <v>34</v>
      </c>
      <c r="G148" t="s">
        <v>35</v>
      </c>
      <c r="H148" t="s">
        <v>57</v>
      </c>
      <c r="I148">
        <v>3</v>
      </c>
      <c r="J148">
        <v>7000</v>
      </c>
      <c r="K148">
        <v>0.1</v>
      </c>
      <c r="L148">
        <v>18900</v>
      </c>
      <c r="M148">
        <v>14400</v>
      </c>
      <c r="N148">
        <v>4500</v>
      </c>
      <c r="O148" t="s">
        <v>23</v>
      </c>
      <c r="P148" t="s">
        <v>42</v>
      </c>
      <c r="Q148" t="str">
        <f>TEXT(Table1[[#This Row],[Order_Date]],"mmm")</f>
        <v>Aug</v>
      </c>
      <c r="R148" t="b">
        <f t="shared" si="2"/>
        <v>1</v>
      </c>
      <c r="T148" s="6">
        <f>Table1[[#This Row],[Profit]]/Table1[[#This Row],[Sales]]</f>
        <v>0.23809523809523808</v>
      </c>
    </row>
    <row r="149" spans="1:20" x14ac:dyDescent="0.3">
      <c r="A149" t="s">
        <v>244</v>
      </c>
      <c r="B149" s="17">
        <v>45876</v>
      </c>
      <c r="C149" t="s">
        <v>63</v>
      </c>
      <c r="D149" t="s">
        <v>64</v>
      </c>
      <c r="E149" t="s">
        <v>77</v>
      </c>
      <c r="F149" t="s">
        <v>78</v>
      </c>
      <c r="G149" t="s">
        <v>40</v>
      </c>
      <c r="H149" t="s">
        <v>41</v>
      </c>
      <c r="I149">
        <v>3</v>
      </c>
      <c r="J149">
        <v>1800</v>
      </c>
      <c r="K149">
        <v>0.1</v>
      </c>
      <c r="L149">
        <v>4860</v>
      </c>
      <c r="M149">
        <v>3300</v>
      </c>
      <c r="N149">
        <v>1560</v>
      </c>
      <c r="O149" t="s">
        <v>23</v>
      </c>
      <c r="P149" t="s">
        <v>24</v>
      </c>
      <c r="Q149" t="str">
        <f>TEXT(Table1[[#This Row],[Order_Date]],"mmm")</f>
        <v>Aug</v>
      </c>
      <c r="R149" t="b">
        <f t="shared" si="2"/>
        <v>1</v>
      </c>
      <c r="T149" s="6">
        <f>Table1[[#This Row],[Profit]]/Table1[[#This Row],[Sales]]</f>
        <v>0.32098765432098764</v>
      </c>
    </row>
    <row r="150" spans="1:20" x14ac:dyDescent="0.3">
      <c r="A150" t="s">
        <v>245</v>
      </c>
      <c r="B150" s="17">
        <v>45701</v>
      </c>
      <c r="C150" t="s">
        <v>119</v>
      </c>
      <c r="D150" t="s">
        <v>120</v>
      </c>
      <c r="E150" t="s">
        <v>33</v>
      </c>
      <c r="F150" t="s">
        <v>34</v>
      </c>
      <c r="G150" t="s">
        <v>40</v>
      </c>
      <c r="H150" t="s">
        <v>41</v>
      </c>
      <c r="I150">
        <v>1</v>
      </c>
      <c r="J150">
        <v>7000</v>
      </c>
      <c r="K150">
        <v>0.15</v>
      </c>
      <c r="L150">
        <v>5950</v>
      </c>
      <c r="M150">
        <v>4800</v>
      </c>
      <c r="N150">
        <v>1150</v>
      </c>
      <c r="O150" t="s">
        <v>23</v>
      </c>
      <c r="P150" t="s">
        <v>42</v>
      </c>
      <c r="Q150" t="str">
        <f>TEXT(Table1[[#This Row],[Order_Date]],"mmm")</f>
        <v>Feb</v>
      </c>
      <c r="R150" t="b">
        <f t="shared" si="2"/>
        <v>1</v>
      </c>
      <c r="T150" s="6">
        <f>Table1[[#This Row],[Profit]]/Table1[[#This Row],[Sales]]</f>
        <v>0.19327731092436976</v>
      </c>
    </row>
    <row r="151" spans="1:20" x14ac:dyDescent="0.3">
      <c r="A151" t="s">
        <v>246</v>
      </c>
      <c r="B151" s="17">
        <v>46001</v>
      </c>
      <c r="C151" t="s">
        <v>17</v>
      </c>
      <c r="D151" t="s">
        <v>18</v>
      </c>
      <c r="E151" t="s">
        <v>33</v>
      </c>
      <c r="F151" t="s">
        <v>34</v>
      </c>
      <c r="G151" t="s">
        <v>35</v>
      </c>
      <c r="H151" t="s">
        <v>36</v>
      </c>
      <c r="I151">
        <v>3</v>
      </c>
      <c r="J151">
        <v>7000</v>
      </c>
      <c r="K151">
        <v>0</v>
      </c>
      <c r="L151">
        <v>21000</v>
      </c>
      <c r="M151">
        <v>14400</v>
      </c>
      <c r="N151">
        <v>6600</v>
      </c>
      <c r="O151" t="s">
        <v>97</v>
      </c>
      <c r="P151" t="s">
        <v>42</v>
      </c>
      <c r="Q151" t="str">
        <f>TEXT(Table1[[#This Row],[Order_Date]],"mmm")</f>
        <v>Dec</v>
      </c>
      <c r="R151" t="b">
        <f t="shared" si="2"/>
        <v>1</v>
      </c>
      <c r="T151" s="6">
        <f>Table1[[#This Row],[Profit]]/Table1[[#This Row],[Sales]]</f>
        <v>0.31428571428571428</v>
      </c>
    </row>
    <row r="152" spans="1:20" x14ac:dyDescent="0.3">
      <c r="A152" t="s">
        <v>247</v>
      </c>
      <c r="B152" s="17">
        <v>45838</v>
      </c>
      <c r="C152" t="s">
        <v>17</v>
      </c>
      <c r="D152" t="s">
        <v>18</v>
      </c>
      <c r="E152" t="s">
        <v>85</v>
      </c>
      <c r="F152" t="s">
        <v>78</v>
      </c>
      <c r="G152" t="s">
        <v>21</v>
      </c>
      <c r="H152" t="s">
        <v>22</v>
      </c>
      <c r="I152">
        <v>5</v>
      </c>
      <c r="J152">
        <v>900</v>
      </c>
      <c r="K152">
        <v>0.1</v>
      </c>
      <c r="L152">
        <v>4050</v>
      </c>
      <c r="M152">
        <v>2500</v>
      </c>
      <c r="N152">
        <v>1550</v>
      </c>
      <c r="O152" t="s">
        <v>58</v>
      </c>
      <c r="P152" t="s">
        <v>24</v>
      </c>
      <c r="Q152" t="str">
        <f>TEXT(Table1[[#This Row],[Order_Date]],"mmm")</f>
        <v>Jun</v>
      </c>
      <c r="R152" t="b">
        <f t="shared" si="2"/>
        <v>1</v>
      </c>
      <c r="T152" s="6">
        <f>Table1[[#This Row],[Profit]]/Table1[[#This Row],[Sales]]</f>
        <v>0.38271604938271603</v>
      </c>
    </row>
    <row r="153" spans="1:20" x14ac:dyDescent="0.3">
      <c r="A153" t="s">
        <v>248</v>
      </c>
      <c r="B153" s="17">
        <v>45837</v>
      </c>
      <c r="C153" t="s">
        <v>31</v>
      </c>
      <c r="D153" t="s">
        <v>32</v>
      </c>
      <c r="E153" t="s">
        <v>38</v>
      </c>
      <c r="F153" t="s">
        <v>34</v>
      </c>
      <c r="G153" t="s">
        <v>40</v>
      </c>
      <c r="H153" t="s">
        <v>45</v>
      </c>
      <c r="I153">
        <v>1</v>
      </c>
      <c r="J153">
        <v>12000</v>
      </c>
      <c r="K153">
        <v>0</v>
      </c>
      <c r="L153">
        <v>12000</v>
      </c>
      <c r="M153">
        <v>8500</v>
      </c>
      <c r="N153">
        <v>3500</v>
      </c>
      <c r="O153" t="s">
        <v>51</v>
      </c>
      <c r="P153" t="s">
        <v>24</v>
      </c>
      <c r="Q153" t="str">
        <f>TEXT(Table1[[#This Row],[Order_Date]],"mmm")</f>
        <v>Jun</v>
      </c>
      <c r="R153" t="b">
        <f t="shared" si="2"/>
        <v>1</v>
      </c>
      <c r="T153" s="6">
        <f>Table1[[#This Row],[Profit]]/Table1[[#This Row],[Sales]]</f>
        <v>0.29166666666666669</v>
      </c>
    </row>
    <row r="154" spans="1:20" x14ac:dyDescent="0.3">
      <c r="A154" t="s">
        <v>249</v>
      </c>
      <c r="B154" s="17">
        <v>45969</v>
      </c>
      <c r="C154" t="s">
        <v>132</v>
      </c>
      <c r="D154" t="s">
        <v>133</v>
      </c>
      <c r="E154" t="s">
        <v>19</v>
      </c>
      <c r="F154" t="s">
        <v>20</v>
      </c>
      <c r="G154" t="s">
        <v>40</v>
      </c>
      <c r="H154" t="s">
        <v>45</v>
      </c>
      <c r="I154">
        <v>2</v>
      </c>
      <c r="J154">
        <v>55000</v>
      </c>
      <c r="K154">
        <v>0.05</v>
      </c>
      <c r="L154">
        <v>104500</v>
      </c>
      <c r="M154">
        <v>90000</v>
      </c>
      <c r="N154">
        <v>14500</v>
      </c>
      <c r="O154" t="s">
        <v>97</v>
      </c>
      <c r="P154" t="s">
        <v>42</v>
      </c>
      <c r="Q154" t="str">
        <f>TEXT(Table1[[#This Row],[Order_Date]],"mmm")</f>
        <v>Nov</v>
      </c>
      <c r="R154" t="b">
        <f t="shared" si="2"/>
        <v>1</v>
      </c>
      <c r="T154" s="6">
        <f>Table1[[#This Row],[Profit]]/Table1[[#This Row],[Sales]]</f>
        <v>0.13875598086124402</v>
      </c>
    </row>
    <row r="155" spans="1:20" x14ac:dyDescent="0.3">
      <c r="A155" t="s">
        <v>250</v>
      </c>
      <c r="B155" s="17">
        <v>45661</v>
      </c>
      <c r="C155" t="s">
        <v>71</v>
      </c>
      <c r="D155" t="s">
        <v>72</v>
      </c>
      <c r="E155" t="s">
        <v>60</v>
      </c>
      <c r="F155" t="s">
        <v>50</v>
      </c>
      <c r="G155" t="s">
        <v>35</v>
      </c>
      <c r="H155" t="s">
        <v>69</v>
      </c>
      <c r="I155">
        <v>2</v>
      </c>
      <c r="J155">
        <v>6000</v>
      </c>
      <c r="K155">
        <v>0</v>
      </c>
      <c r="L155">
        <v>12000</v>
      </c>
      <c r="M155">
        <v>8400</v>
      </c>
      <c r="N155">
        <v>3600</v>
      </c>
      <c r="O155" t="s">
        <v>23</v>
      </c>
      <c r="P155" t="s">
        <v>24</v>
      </c>
      <c r="Q155" t="str">
        <f>TEXT(Table1[[#This Row],[Order_Date]],"mmm")</f>
        <v>Jan</v>
      </c>
      <c r="R155" t="b">
        <f t="shared" si="2"/>
        <v>1</v>
      </c>
      <c r="T155" s="6">
        <f>Table1[[#This Row],[Profit]]/Table1[[#This Row],[Sales]]</f>
        <v>0.3</v>
      </c>
    </row>
    <row r="156" spans="1:20" x14ac:dyDescent="0.3">
      <c r="A156" t="s">
        <v>251</v>
      </c>
      <c r="B156" s="17">
        <v>45929</v>
      </c>
      <c r="C156" t="s">
        <v>207</v>
      </c>
      <c r="D156" t="s">
        <v>208</v>
      </c>
      <c r="E156" t="s">
        <v>33</v>
      </c>
      <c r="F156" t="s">
        <v>34</v>
      </c>
      <c r="G156" t="s">
        <v>35</v>
      </c>
      <c r="H156" t="s">
        <v>57</v>
      </c>
      <c r="I156">
        <v>4</v>
      </c>
      <c r="J156">
        <v>7000</v>
      </c>
      <c r="K156">
        <v>0</v>
      </c>
      <c r="L156">
        <v>28000</v>
      </c>
      <c r="M156">
        <v>19200</v>
      </c>
      <c r="N156">
        <v>8800</v>
      </c>
      <c r="O156" t="s">
        <v>97</v>
      </c>
      <c r="P156" t="s">
        <v>42</v>
      </c>
      <c r="Q156" t="str">
        <f>TEXT(Table1[[#This Row],[Order_Date]],"mmm")</f>
        <v>Sep</v>
      </c>
      <c r="R156" t="b">
        <f t="shared" si="2"/>
        <v>1</v>
      </c>
      <c r="T156" s="6">
        <f>Table1[[#This Row],[Profit]]/Table1[[#This Row],[Sales]]</f>
        <v>0.31428571428571428</v>
      </c>
    </row>
    <row r="157" spans="1:20" x14ac:dyDescent="0.3">
      <c r="A157" t="s">
        <v>252</v>
      </c>
      <c r="B157" s="17">
        <v>45824</v>
      </c>
      <c r="C157" t="s">
        <v>113</v>
      </c>
      <c r="D157" t="s">
        <v>114</v>
      </c>
      <c r="E157" t="s">
        <v>85</v>
      </c>
      <c r="F157" t="s">
        <v>78</v>
      </c>
      <c r="G157" t="s">
        <v>28</v>
      </c>
      <c r="H157" t="s">
        <v>29</v>
      </c>
      <c r="I157">
        <v>1</v>
      </c>
      <c r="J157">
        <v>900</v>
      </c>
      <c r="K157">
        <v>0</v>
      </c>
      <c r="L157">
        <v>900</v>
      </c>
      <c r="M157">
        <v>500</v>
      </c>
      <c r="N157">
        <v>400</v>
      </c>
      <c r="O157" t="s">
        <v>23</v>
      </c>
      <c r="P157" t="s">
        <v>24</v>
      </c>
      <c r="Q157" t="str">
        <f>TEXT(Table1[[#This Row],[Order_Date]],"mmm")</f>
        <v>Jun</v>
      </c>
      <c r="R157" t="b">
        <f t="shared" si="2"/>
        <v>1</v>
      </c>
      <c r="T157" s="6">
        <f>Table1[[#This Row],[Profit]]/Table1[[#This Row],[Sales]]</f>
        <v>0.44444444444444442</v>
      </c>
    </row>
    <row r="158" spans="1:20" x14ac:dyDescent="0.3">
      <c r="A158" t="s">
        <v>253</v>
      </c>
      <c r="B158" s="17">
        <v>45797</v>
      </c>
      <c r="C158" t="s">
        <v>107</v>
      </c>
      <c r="D158" t="s">
        <v>108</v>
      </c>
      <c r="E158" t="s">
        <v>77</v>
      </c>
      <c r="F158" t="s">
        <v>78</v>
      </c>
      <c r="G158" t="s">
        <v>35</v>
      </c>
      <c r="H158" t="s">
        <v>36</v>
      </c>
      <c r="I158">
        <v>4</v>
      </c>
      <c r="J158">
        <v>1800</v>
      </c>
      <c r="K158">
        <v>0.1</v>
      </c>
      <c r="L158">
        <v>6480</v>
      </c>
      <c r="M158">
        <v>4400</v>
      </c>
      <c r="N158">
        <v>2080</v>
      </c>
      <c r="O158" t="s">
        <v>51</v>
      </c>
      <c r="P158" t="s">
        <v>42</v>
      </c>
      <c r="Q158" t="str">
        <f>TEXT(Table1[[#This Row],[Order_Date]],"mmm")</f>
        <v>May</v>
      </c>
      <c r="R158" t="b">
        <f t="shared" si="2"/>
        <v>1</v>
      </c>
      <c r="T158" s="6">
        <f>Table1[[#This Row],[Profit]]/Table1[[#This Row],[Sales]]</f>
        <v>0.32098765432098764</v>
      </c>
    </row>
    <row r="159" spans="1:20" x14ac:dyDescent="0.3">
      <c r="A159" t="s">
        <v>254</v>
      </c>
      <c r="B159" s="17">
        <v>45768</v>
      </c>
      <c r="C159" t="s">
        <v>83</v>
      </c>
      <c r="D159" t="s">
        <v>84</v>
      </c>
      <c r="E159" t="s">
        <v>88</v>
      </c>
      <c r="F159" t="s">
        <v>20</v>
      </c>
      <c r="G159" t="s">
        <v>35</v>
      </c>
      <c r="H159" t="s">
        <v>69</v>
      </c>
      <c r="I159">
        <v>3</v>
      </c>
      <c r="J159">
        <v>25000</v>
      </c>
      <c r="K159">
        <v>0.05</v>
      </c>
      <c r="L159">
        <v>71250</v>
      </c>
      <c r="M159">
        <v>61500</v>
      </c>
      <c r="N159">
        <v>9750</v>
      </c>
      <c r="O159" t="s">
        <v>51</v>
      </c>
      <c r="P159" t="s">
        <v>42</v>
      </c>
      <c r="Q159" t="str">
        <f>TEXT(Table1[[#This Row],[Order_Date]],"mmm")</f>
        <v>Apr</v>
      </c>
      <c r="R159" t="b">
        <f t="shared" si="2"/>
        <v>1</v>
      </c>
      <c r="T159" s="6">
        <f>Table1[[#This Row],[Profit]]/Table1[[#This Row],[Sales]]</f>
        <v>0.1368421052631579</v>
      </c>
    </row>
    <row r="160" spans="1:20" x14ac:dyDescent="0.3">
      <c r="A160" t="s">
        <v>255</v>
      </c>
      <c r="B160" s="17">
        <v>45681</v>
      </c>
      <c r="C160" t="s">
        <v>47</v>
      </c>
      <c r="D160" t="s">
        <v>48</v>
      </c>
      <c r="E160" t="s">
        <v>33</v>
      </c>
      <c r="F160" t="s">
        <v>34</v>
      </c>
      <c r="G160" t="s">
        <v>28</v>
      </c>
      <c r="H160" t="s">
        <v>29</v>
      </c>
      <c r="I160">
        <v>5</v>
      </c>
      <c r="J160">
        <v>7000</v>
      </c>
      <c r="K160">
        <v>0</v>
      </c>
      <c r="L160">
        <v>35000</v>
      </c>
      <c r="M160">
        <v>24000</v>
      </c>
      <c r="N160">
        <v>11000</v>
      </c>
      <c r="O160" t="s">
        <v>97</v>
      </c>
      <c r="P160" t="s">
        <v>24</v>
      </c>
      <c r="Q160" t="str">
        <f>TEXT(Table1[[#This Row],[Order_Date]],"mmm")</f>
        <v>Jan</v>
      </c>
      <c r="R160" t="b">
        <f t="shared" si="2"/>
        <v>1</v>
      </c>
      <c r="T160" s="6">
        <f>Table1[[#This Row],[Profit]]/Table1[[#This Row],[Sales]]</f>
        <v>0.31428571428571428</v>
      </c>
    </row>
    <row r="161" spans="1:20" x14ac:dyDescent="0.3">
      <c r="A161" t="s">
        <v>256</v>
      </c>
      <c r="B161" s="17">
        <v>45728</v>
      </c>
      <c r="C161" t="s">
        <v>132</v>
      </c>
      <c r="D161" t="s">
        <v>133</v>
      </c>
      <c r="E161" t="s">
        <v>44</v>
      </c>
      <c r="F161" t="s">
        <v>34</v>
      </c>
      <c r="G161" t="s">
        <v>28</v>
      </c>
      <c r="H161" t="s">
        <v>29</v>
      </c>
      <c r="I161">
        <v>3</v>
      </c>
      <c r="J161">
        <v>8000</v>
      </c>
      <c r="K161">
        <v>0.1</v>
      </c>
      <c r="L161">
        <v>21600</v>
      </c>
      <c r="M161">
        <v>16800</v>
      </c>
      <c r="N161">
        <v>4800</v>
      </c>
      <c r="O161" t="s">
        <v>51</v>
      </c>
      <c r="P161" t="s">
        <v>24</v>
      </c>
      <c r="Q161" t="str">
        <f>TEXT(Table1[[#This Row],[Order_Date]],"mmm")</f>
        <v>Mar</v>
      </c>
      <c r="R161" t="b">
        <f t="shared" si="2"/>
        <v>1</v>
      </c>
      <c r="T161" s="6">
        <f>Table1[[#This Row],[Profit]]/Table1[[#This Row],[Sales]]</f>
        <v>0.22222222222222221</v>
      </c>
    </row>
    <row r="162" spans="1:20" x14ac:dyDescent="0.3">
      <c r="A162" t="s">
        <v>257</v>
      </c>
      <c r="B162" s="17">
        <v>45724</v>
      </c>
      <c r="C162" t="s">
        <v>122</v>
      </c>
      <c r="D162" t="s">
        <v>123</v>
      </c>
      <c r="E162" t="s">
        <v>116</v>
      </c>
      <c r="F162" t="s">
        <v>78</v>
      </c>
      <c r="G162" t="s">
        <v>40</v>
      </c>
      <c r="H162" t="s">
        <v>41</v>
      </c>
      <c r="I162">
        <v>2</v>
      </c>
      <c r="J162">
        <v>3000</v>
      </c>
      <c r="K162">
        <v>0.1</v>
      </c>
      <c r="L162">
        <v>5400</v>
      </c>
      <c r="M162">
        <v>3800</v>
      </c>
      <c r="N162">
        <v>1600</v>
      </c>
      <c r="O162" t="s">
        <v>23</v>
      </c>
      <c r="P162" t="s">
        <v>42</v>
      </c>
      <c r="Q162" t="str">
        <f>TEXT(Table1[[#This Row],[Order_Date]],"mmm")</f>
        <v>Mar</v>
      </c>
      <c r="R162" t="b">
        <f t="shared" si="2"/>
        <v>1</v>
      </c>
      <c r="T162" s="6">
        <f>Table1[[#This Row],[Profit]]/Table1[[#This Row],[Sales]]</f>
        <v>0.29629629629629628</v>
      </c>
    </row>
    <row r="163" spans="1:20" x14ac:dyDescent="0.3">
      <c r="A163" t="s">
        <v>258</v>
      </c>
      <c r="B163" s="17">
        <v>45667</v>
      </c>
      <c r="C163" t="s">
        <v>107</v>
      </c>
      <c r="D163" t="s">
        <v>108</v>
      </c>
      <c r="E163" t="s">
        <v>88</v>
      </c>
      <c r="F163" t="s">
        <v>20</v>
      </c>
      <c r="G163" t="s">
        <v>35</v>
      </c>
      <c r="H163" t="s">
        <v>36</v>
      </c>
      <c r="I163">
        <v>3</v>
      </c>
      <c r="J163">
        <v>25000</v>
      </c>
      <c r="K163">
        <v>0.1</v>
      </c>
      <c r="L163">
        <v>67500</v>
      </c>
      <c r="M163">
        <v>61500</v>
      </c>
      <c r="N163">
        <v>6000</v>
      </c>
      <c r="O163" t="s">
        <v>51</v>
      </c>
      <c r="P163" t="s">
        <v>42</v>
      </c>
      <c r="Q163" t="str">
        <f>TEXT(Table1[[#This Row],[Order_Date]],"mmm")</f>
        <v>Jan</v>
      </c>
      <c r="R163" t="b">
        <f t="shared" si="2"/>
        <v>1</v>
      </c>
      <c r="T163" s="6">
        <f>Table1[[#This Row],[Profit]]/Table1[[#This Row],[Sales]]</f>
        <v>8.8888888888888892E-2</v>
      </c>
    </row>
    <row r="164" spans="1:20" x14ac:dyDescent="0.3">
      <c r="A164" t="s">
        <v>259</v>
      </c>
      <c r="B164" s="17">
        <v>45716</v>
      </c>
      <c r="C164" t="s">
        <v>122</v>
      </c>
      <c r="D164" t="s">
        <v>123</v>
      </c>
      <c r="E164" t="s">
        <v>19</v>
      </c>
      <c r="F164" t="s">
        <v>20</v>
      </c>
      <c r="G164" t="s">
        <v>21</v>
      </c>
      <c r="H164" t="s">
        <v>95</v>
      </c>
      <c r="I164">
        <v>3</v>
      </c>
      <c r="J164">
        <v>55000</v>
      </c>
      <c r="K164">
        <v>0.1</v>
      </c>
      <c r="L164">
        <v>148500</v>
      </c>
      <c r="M164">
        <v>135000</v>
      </c>
      <c r="N164">
        <v>13500</v>
      </c>
      <c r="O164" t="s">
        <v>97</v>
      </c>
      <c r="P164" t="s">
        <v>24</v>
      </c>
      <c r="Q164" t="str">
        <f>TEXT(Table1[[#This Row],[Order_Date]],"mmm")</f>
        <v>Feb</v>
      </c>
      <c r="R164" t="b">
        <f t="shared" si="2"/>
        <v>1</v>
      </c>
      <c r="T164" s="6">
        <f>Table1[[#This Row],[Profit]]/Table1[[#This Row],[Sales]]</f>
        <v>9.0909090909090912E-2</v>
      </c>
    </row>
    <row r="165" spans="1:20" x14ac:dyDescent="0.3">
      <c r="A165" t="s">
        <v>260</v>
      </c>
      <c r="B165" s="17">
        <v>45881</v>
      </c>
      <c r="C165" t="s">
        <v>17</v>
      </c>
      <c r="D165" t="s">
        <v>18</v>
      </c>
      <c r="E165" t="s">
        <v>65</v>
      </c>
      <c r="F165" t="s">
        <v>20</v>
      </c>
      <c r="G165" t="s">
        <v>35</v>
      </c>
      <c r="H165" t="s">
        <v>36</v>
      </c>
      <c r="I165">
        <v>4</v>
      </c>
      <c r="J165">
        <v>5000</v>
      </c>
      <c r="K165">
        <v>0</v>
      </c>
      <c r="L165">
        <v>20000</v>
      </c>
      <c r="M165">
        <v>14000</v>
      </c>
      <c r="N165">
        <v>6000</v>
      </c>
      <c r="O165" t="s">
        <v>51</v>
      </c>
      <c r="P165" t="s">
        <v>42</v>
      </c>
      <c r="Q165" t="str">
        <f>TEXT(Table1[[#This Row],[Order_Date]],"mmm")</f>
        <v>Aug</v>
      </c>
      <c r="R165" t="b">
        <f t="shared" si="2"/>
        <v>1</v>
      </c>
      <c r="T165" s="6">
        <f>Table1[[#This Row],[Profit]]/Table1[[#This Row],[Sales]]</f>
        <v>0.3</v>
      </c>
    </row>
    <row r="166" spans="1:20" x14ac:dyDescent="0.3">
      <c r="A166" t="s">
        <v>261</v>
      </c>
      <c r="B166" s="17">
        <v>45831</v>
      </c>
      <c r="C166" t="s">
        <v>47</v>
      </c>
      <c r="D166" t="s">
        <v>48</v>
      </c>
      <c r="E166" t="s">
        <v>38</v>
      </c>
      <c r="F166" t="s">
        <v>34</v>
      </c>
      <c r="G166" t="s">
        <v>28</v>
      </c>
      <c r="H166" t="s">
        <v>102</v>
      </c>
      <c r="I166">
        <v>2</v>
      </c>
      <c r="J166">
        <v>12000</v>
      </c>
      <c r="K166">
        <v>0</v>
      </c>
      <c r="L166">
        <v>24000</v>
      </c>
      <c r="M166">
        <v>17000</v>
      </c>
      <c r="N166">
        <v>7000</v>
      </c>
      <c r="O166" t="s">
        <v>58</v>
      </c>
      <c r="P166" t="s">
        <v>42</v>
      </c>
      <c r="Q166" t="str">
        <f>TEXT(Table1[[#This Row],[Order_Date]],"mmm")</f>
        <v>Jun</v>
      </c>
      <c r="R166" t="b">
        <f t="shared" si="2"/>
        <v>1</v>
      </c>
      <c r="T166" s="6">
        <f>Table1[[#This Row],[Profit]]/Table1[[#This Row],[Sales]]</f>
        <v>0.29166666666666669</v>
      </c>
    </row>
    <row r="167" spans="1:20" x14ac:dyDescent="0.3">
      <c r="A167" t="s">
        <v>262</v>
      </c>
      <c r="B167" s="17">
        <v>45837</v>
      </c>
      <c r="C167" t="s">
        <v>135</v>
      </c>
      <c r="D167" t="s">
        <v>136</v>
      </c>
      <c r="E167" t="s">
        <v>65</v>
      </c>
      <c r="F167" t="s">
        <v>20</v>
      </c>
      <c r="G167" t="s">
        <v>21</v>
      </c>
      <c r="H167" t="s">
        <v>86</v>
      </c>
      <c r="I167">
        <v>1</v>
      </c>
      <c r="J167">
        <v>5000</v>
      </c>
      <c r="K167">
        <v>0</v>
      </c>
      <c r="L167">
        <v>5000</v>
      </c>
      <c r="M167">
        <v>3500</v>
      </c>
      <c r="N167">
        <v>1500</v>
      </c>
      <c r="O167" t="s">
        <v>58</v>
      </c>
      <c r="P167" t="s">
        <v>24</v>
      </c>
      <c r="Q167" t="str">
        <f>TEXT(Table1[[#This Row],[Order_Date]],"mmm")</f>
        <v>Jun</v>
      </c>
      <c r="R167" t="b">
        <f t="shared" si="2"/>
        <v>1</v>
      </c>
      <c r="T167" s="6">
        <f>Table1[[#This Row],[Profit]]/Table1[[#This Row],[Sales]]</f>
        <v>0.3</v>
      </c>
    </row>
    <row r="168" spans="1:20" x14ac:dyDescent="0.3">
      <c r="A168" t="s">
        <v>263</v>
      </c>
      <c r="B168" s="17">
        <v>45993</v>
      </c>
      <c r="C168" t="s">
        <v>119</v>
      </c>
      <c r="D168" t="s">
        <v>120</v>
      </c>
      <c r="E168" t="s">
        <v>55</v>
      </c>
      <c r="F168" t="s">
        <v>20</v>
      </c>
      <c r="G168" t="s">
        <v>35</v>
      </c>
      <c r="H168" t="s">
        <v>36</v>
      </c>
      <c r="I168">
        <v>4</v>
      </c>
      <c r="J168">
        <v>2500</v>
      </c>
      <c r="K168">
        <v>0.15</v>
      </c>
      <c r="L168">
        <v>8500</v>
      </c>
      <c r="M168">
        <v>6800</v>
      </c>
      <c r="N168">
        <v>1700</v>
      </c>
      <c r="O168" t="s">
        <v>51</v>
      </c>
      <c r="P168" t="s">
        <v>42</v>
      </c>
      <c r="Q168" t="str">
        <f>TEXT(Table1[[#This Row],[Order_Date]],"mmm")</f>
        <v>Dec</v>
      </c>
      <c r="R168" t="b">
        <f t="shared" si="2"/>
        <v>1</v>
      </c>
      <c r="T168" s="6">
        <f>Table1[[#This Row],[Profit]]/Table1[[#This Row],[Sales]]</f>
        <v>0.2</v>
      </c>
    </row>
    <row r="169" spans="1:20" x14ac:dyDescent="0.3">
      <c r="A169" t="s">
        <v>264</v>
      </c>
      <c r="B169" s="17">
        <v>45979</v>
      </c>
      <c r="C169" t="s">
        <v>63</v>
      </c>
      <c r="D169" t="s">
        <v>64</v>
      </c>
      <c r="E169" t="s">
        <v>55</v>
      </c>
      <c r="F169" t="s">
        <v>20</v>
      </c>
      <c r="G169" t="s">
        <v>28</v>
      </c>
      <c r="H169" t="s">
        <v>73</v>
      </c>
      <c r="I169">
        <v>4</v>
      </c>
      <c r="J169">
        <v>2500</v>
      </c>
      <c r="K169">
        <v>0.1</v>
      </c>
      <c r="L169">
        <v>9000</v>
      </c>
      <c r="M169">
        <v>6800</v>
      </c>
      <c r="N169">
        <v>2200</v>
      </c>
      <c r="O169" t="s">
        <v>97</v>
      </c>
      <c r="P169" t="s">
        <v>42</v>
      </c>
      <c r="Q169" t="str">
        <f>TEXT(Table1[[#This Row],[Order_Date]],"mmm")</f>
        <v>Nov</v>
      </c>
      <c r="R169" t="b">
        <f t="shared" si="2"/>
        <v>1</v>
      </c>
      <c r="T169" s="6">
        <f>Table1[[#This Row],[Profit]]/Table1[[#This Row],[Sales]]</f>
        <v>0.24444444444444444</v>
      </c>
    </row>
    <row r="170" spans="1:20" x14ac:dyDescent="0.3">
      <c r="A170" t="s">
        <v>265</v>
      </c>
      <c r="B170" s="17">
        <v>45960</v>
      </c>
      <c r="C170" t="s">
        <v>100</v>
      </c>
      <c r="D170" t="s">
        <v>101</v>
      </c>
      <c r="E170" t="s">
        <v>38</v>
      </c>
      <c r="F170" t="s">
        <v>34</v>
      </c>
      <c r="G170" t="s">
        <v>28</v>
      </c>
      <c r="H170" t="s">
        <v>73</v>
      </c>
      <c r="I170">
        <v>5</v>
      </c>
      <c r="J170">
        <v>12000</v>
      </c>
      <c r="K170">
        <v>0.1</v>
      </c>
      <c r="L170">
        <v>54000</v>
      </c>
      <c r="M170">
        <v>42500</v>
      </c>
      <c r="N170">
        <v>11500</v>
      </c>
      <c r="O170" t="s">
        <v>51</v>
      </c>
      <c r="P170" t="s">
        <v>24</v>
      </c>
      <c r="Q170" t="str">
        <f>TEXT(Table1[[#This Row],[Order_Date]],"mmm")</f>
        <v>Oct</v>
      </c>
      <c r="R170" t="b">
        <f t="shared" si="2"/>
        <v>1</v>
      </c>
      <c r="T170" s="6">
        <f>Table1[[#This Row],[Profit]]/Table1[[#This Row],[Sales]]</f>
        <v>0.21296296296296297</v>
      </c>
    </row>
    <row r="171" spans="1:20" x14ac:dyDescent="0.3">
      <c r="A171" t="s">
        <v>266</v>
      </c>
      <c r="B171" s="17">
        <v>45687</v>
      </c>
      <c r="C171" t="s">
        <v>53</v>
      </c>
      <c r="D171" t="s">
        <v>54</v>
      </c>
      <c r="E171" t="s">
        <v>60</v>
      </c>
      <c r="F171" t="s">
        <v>50</v>
      </c>
      <c r="G171" t="s">
        <v>28</v>
      </c>
      <c r="H171" t="s">
        <v>102</v>
      </c>
      <c r="I171">
        <v>3</v>
      </c>
      <c r="J171">
        <v>6000</v>
      </c>
      <c r="K171">
        <v>0</v>
      </c>
      <c r="L171">
        <v>18000</v>
      </c>
      <c r="M171">
        <v>12600</v>
      </c>
      <c r="N171">
        <v>5400</v>
      </c>
      <c r="O171" t="s">
        <v>51</v>
      </c>
      <c r="P171" t="s">
        <v>42</v>
      </c>
      <c r="Q171" t="str">
        <f>TEXT(Table1[[#This Row],[Order_Date]],"mmm")</f>
        <v>Jan</v>
      </c>
      <c r="R171" t="b">
        <f t="shared" si="2"/>
        <v>1</v>
      </c>
      <c r="T171" s="6">
        <f>Table1[[#This Row],[Profit]]/Table1[[#This Row],[Sales]]</f>
        <v>0.3</v>
      </c>
    </row>
    <row r="172" spans="1:20" x14ac:dyDescent="0.3">
      <c r="A172" t="s">
        <v>267</v>
      </c>
      <c r="B172" s="17">
        <v>45955</v>
      </c>
      <c r="C172" t="s">
        <v>31</v>
      </c>
      <c r="D172" t="s">
        <v>32</v>
      </c>
      <c r="E172" t="s">
        <v>49</v>
      </c>
      <c r="F172" t="s">
        <v>50</v>
      </c>
      <c r="G172" t="s">
        <v>35</v>
      </c>
      <c r="H172" t="s">
        <v>36</v>
      </c>
      <c r="I172">
        <v>1</v>
      </c>
      <c r="J172">
        <v>3500</v>
      </c>
      <c r="K172">
        <v>0</v>
      </c>
      <c r="L172">
        <v>3500</v>
      </c>
      <c r="M172">
        <v>2400</v>
      </c>
      <c r="N172">
        <v>1100</v>
      </c>
      <c r="O172" t="s">
        <v>97</v>
      </c>
      <c r="P172" t="s">
        <v>42</v>
      </c>
      <c r="Q172" t="str">
        <f>TEXT(Table1[[#This Row],[Order_Date]],"mmm")</f>
        <v>Oct</v>
      </c>
      <c r="R172" t="b">
        <f t="shared" si="2"/>
        <v>1</v>
      </c>
      <c r="T172" s="6">
        <f>Table1[[#This Row],[Profit]]/Table1[[#This Row],[Sales]]</f>
        <v>0.31428571428571428</v>
      </c>
    </row>
    <row r="173" spans="1:20" x14ac:dyDescent="0.3">
      <c r="A173" t="s">
        <v>268</v>
      </c>
      <c r="B173" s="17">
        <v>45914</v>
      </c>
      <c r="C173" t="s">
        <v>135</v>
      </c>
      <c r="D173" t="s">
        <v>136</v>
      </c>
      <c r="E173" t="s">
        <v>19</v>
      </c>
      <c r="F173" t="s">
        <v>20</v>
      </c>
      <c r="G173" t="s">
        <v>28</v>
      </c>
      <c r="H173" t="s">
        <v>73</v>
      </c>
      <c r="I173">
        <v>4</v>
      </c>
      <c r="J173">
        <v>55000</v>
      </c>
      <c r="K173">
        <v>0</v>
      </c>
      <c r="L173">
        <v>220000</v>
      </c>
      <c r="M173">
        <v>180000</v>
      </c>
      <c r="N173">
        <v>40000</v>
      </c>
      <c r="O173" t="s">
        <v>58</v>
      </c>
      <c r="P173" t="s">
        <v>24</v>
      </c>
      <c r="Q173" t="str">
        <f>TEXT(Table1[[#This Row],[Order_Date]],"mmm")</f>
        <v>Sep</v>
      </c>
      <c r="R173" t="b">
        <f t="shared" si="2"/>
        <v>1</v>
      </c>
      <c r="T173" s="6">
        <f>Table1[[#This Row],[Profit]]/Table1[[#This Row],[Sales]]</f>
        <v>0.18181818181818182</v>
      </c>
    </row>
    <row r="174" spans="1:20" x14ac:dyDescent="0.3">
      <c r="A174" t="s">
        <v>269</v>
      </c>
      <c r="B174" s="17">
        <v>45784</v>
      </c>
      <c r="C174" t="s">
        <v>107</v>
      </c>
      <c r="D174" t="s">
        <v>108</v>
      </c>
      <c r="E174" t="s">
        <v>80</v>
      </c>
      <c r="F174" t="s">
        <v>81</v>
      </c>
      <c r="G174" t="s">
        <v>21</v>
      </c>
      <c r="H174" t="s">
        <v>86</v>
      </c>
      <c r="I174">
        <v>5</v>
      </c>
      <c r="J174">
        <v>1800</v>
      </c>
      <c r="K174">
        <v>0.05</v>
      </c>
      <c r="L174">
        <v>8550</v>
      </c>
      <c r="M174">
        <v>5500</v>
      </c>
      <c r="N174">
        <v>3050</v>
      </c>
      <c r="O174" t="s">
        <v>97</v>
      </c>
      <c r="P174" t="s">
        <v>42</v>
      </c>
      <c r="Q174" t="str">
        <f>TEXT(Table1[[#This Row],[Order_Date]],"mmm")</f>
        <v>May</v>
      </c>
      <c r="R174" t="b">
        <f t="shared" si="2"/>
        <v>1</v>
      </c>
      <c r="T174" s="6">
        <f>Table1[[#This Row],[Profit]]/Table1[[#This Row],[Sales]]</f>
        <v>0.35672514619883039</v>
      </c>
    </row>
    <row r="175" spans="1:20" x14ac:dyDescent="0.3">
      <c r="A175" t="s">
        <v>270</v>
      </c>
      <c r="B175" s="17">
        <v>45867</v>
      </c>
      <c r="C175" t="s">
        <v>63</v>
      </c>
      <c r="D175" t="s">
        <v>64</v>
      </c>
      <c r="E175" t="s">
        <v>77</v>
      </c>
      <c r="F175" t="s">
        <v>78</v>
      </c>
      <c r="G175" t="s">
        <v>28</v>
      </c>
      <c r="H175" t="s">
        <v>102</v>
      </c>
      <c r="I175">
        <v>5</v>
      </c>
      <c r="J175">
        <v>1800</v>
      </c>
      <c r="K175">
        <v>0.05</v>
      </c>
      <c r="L175">
        <v>8550</v>
      </c>
      <c r="M175">
        <v>5500</v>
      </c>
      <c r="N175">
        <v>3050</v>
      </c>
      <c r="O175" t="s">
        <v>23</v>
      </c>
      <c r="P175" t="s">
        <v>42</v>
      </c>
      <c r="Q175" t="str">
        <f>TEXT(Table1[[#This Row],[Order_Date]],"mmm")</f>
        <v>Jul</v>
      </c>
      <c r="R175" t="b">
        <f t="shared" si="2"/>
        <v>1</v>
      </c>
      <c r="T175" s="6">
        <f>Table1[[#This Row],[Profit]]/Table1[[#This Row],[Sales]]</f>
        <v>0.35672514619883039</v>
      </c>
    </row>
    <row r="176" spans="1:20" x14ac:dyDescent="0.3">
      <c r="A176" t="s">
        <v>271</v>
      </c>
      <c r="B176" s="17">
        <v>45706</v>
      </c>
      <c r="C176" t="s">
        <v>31</v>
      </c>
      <c r="D176" t="s">
        <v>32</v>
      </c>
      <c r="E176" t="s">
        <v>77</v>
      </c>
      <c r="F176" t="s">
        <v>78</v>
      </c>
      <c r="G176" t="s">
        <v>40</v>
      </c>
      <c r="H176" t="s">
        <v>61</v>
      </c>
      <c r="I176">
        <v>4</v>
      </c>
      <c r="J176">
        <v>1800</v>
      </c>
      <c r="K176">
        <v>0.15</v>
      </c>
      <c r="L176">
        <v>6120</v>
      </c>
      <c r="M176">
        <v>4400</v>
      </c>
      <c r="N176">
        <v>1720</v>
      </c>
      <c r="O176" t="s">
        <v>58</v>
      </c>
      <c r="P176" t="s">
        <v>42</v>
      </c>
      <c r="Q176" t="str">
        <f>TEXT(Table1[[#This Row],[Order_Date]],"mmm")</f>
        <v>Feb</v>
      </c>
      <c r="R176" t="b">
        <f t="shared" si="2"/>
        <v>1</v>
      </c>
      <c r="T176" s="6">
        <f>Table1[[#This Row],[Profit]]/Table1[[#This Row],[Sales]]</f>
        <v>0.28104575163398693</v>
      </c>
    </row>
    <row r="177" spans="1:20" x14ac:dyDescent="0.3">
      <c r="A177" t="s">
        <v>272</v>
      </c>
      <c r="B177" s="17">
        <v>45699</v>
      </c>
      <c r="C177" t="s">
        <v>113</v>
      </c>
      <c r="D177" t="s">
        <v>114</v>
      </c>
      <c r="E177" t="s">
        <v>77</v>
      </c>
      <c r="F177" t="s">
        <v>78</v>
      </c>
      <c r="G177" t="s">
        <v>40</v>
      </c>
      <c r="H177" t="s">
        <v>61</v>
      </c>
      <c r="I177">
        <v>2</v>
      </c>
      <c r="J177">
        <v>1800</v>
      </c>
      <c r="K177">
        <v>0.1</v>
      </c>
      <c r="L177">
        <v>3240</v>
      </c>
      <c r="M177">
        <v>2200</v>
      </c>
      <c r="N177">
        <v>1040</v>
      </c>
      <c r="O177" t="s">
        <v>58</v>
      </c>
      <c r="P177" t="s">
        <v>24</v>
      </c>
      <c r="Q177" t="str">
        <f>TEXT(Table1[[#This Row],[Order_Date]],"mmm")</f>
        <v>Feb</v>
      </c>
      <c r="R177" t="b">
        <f t="shared" si="2"/>
        <v>1</v>
      </c>
      <c r="T177" s="6">
        <f>Table1[[#This Row],[Profit]]/Table1[[#This Row],[Sales]]</f>
        <v>0.32098765432098764</v>
      </c>
    </row>
    <row r="178" spans="1:20" x14ac:dyDescent="0.3">
      <c r="A178" t="s">
        <v>273</v>
      </c>
      <c r="B178" s="17">
        <v>45816</v>
      </c>
      <c r="C178" t="s">
        <v>31</v>
      </c>
      <c r="D178" t="s">
        <v>32</v>
      </c>
      <c r="E178" t="s">
        <v>33</v>
      </c>
      <c r="F178" t="s">
        <v>34</v>
      </c>
      <c r="G178" t="s">
        <v>21</v>
      </c>
      <c r="H178" t="s">
        <v>95</v>
      </c>
      <c r="I178">
        <v>3</v>
      </c>
      <c r="J178">
        <v>7000</v>
      </c>
      <c r="K178">
        <v>0.15</v>
      </c>
      <c r="L178">
        <v>17850</v>
      </c>
      <c r="M178">
        <v>14400</v>
      </c>
      <c r="N178">
        <v>3450</v>
      </c>
      <c r="O178" t="s">
        <v>23</v>
      </c>
      <c r="P178" t="s">
        <v>42</v>
      </c>
      <c r="Q178" t="str">
        <f>TEXT(Table1[[#This Row],[Order_Date]],"mmm")</f>
        <v>Jun</v>
      </c>
      <c r="R178" t="b">
        <f t="shared" si="2"/>
        <v>1</v>
      </c>
      <c r="T178" s="6">
        <f>Table1[[#This Row],[Profit]]/Table1[[#This Row],[Sales]]</f>
        <v>0.19327731092436976</v>
      </c>
    </row>
    <row r="179" spans="1:20" x14ac:dyDescent="0.3">
      <c r="A179" t="s">
        <v>274</v>
      </c>
      <c r="B179" s="17">
        <v>45918</v>
      </c>
      <c r="C179" t="s">
        <v>53</v>
      </c>
      <c r="D179" t="s">
        <v>54</v>
      </c>
      <c r="E179" t="s">
        <v>19</v>
      </c>
      <c r="F179" t="s">
        <v>20</v>
      </c>
      <c r="G179" t="s">
        <v>40</v>
      </c>
      <c r="H179" t="s">
        <v>41</v>
      </c>
      <c r="I179">
        <v>3</v>
      </c>
      <c r="J179">
        <v>55000</v>
      </c>
      <c r="K179">
        <v>0</v>
      </c>
      <c r="L179">
        <v>165000</v>
      </c>
      <c r="M179">
        <v>135000</v>
      </c>
      <c r="N179">
        <v>30000</v>
      </c>
      <c r="O179" t="s">
        <v>97</v>
      </c>
      <c r="P179" t="s">
        <v>42</v>
      </c>
      <c r="Q179" t="str">
        <f>TEXT(Table1[[#This Row],[Order_Date]],"mmm")</f>
        <v>Sep</v>
      </c>
      <c r="R179" t="b">
        <f t="shared" si="2"/>
        <v>1</v>
      </c>
      <c r="T179" s="6">
        <f>Table1[[#This Row],[Profit]]/Table1[[#This Row],[Sales]]</f>
        <v>0.18181818181818182</v>
      </c>
    </row>
    <row r="180" spans="1:20" x14ac:dyDescent="0.3">
      <c r="A180" t="s">
        <v>275</v>
      </c>
      <c r="B180" s="17">
        <v>45756</v>
      </c>
      <c r="C180" t="s">
        <v>47</v>
      </c>
      <c r="D180" t="s">
        <v>48</v>
      </c>
      <c r="E180" t="s">
        <v>55</v>
      </c>
      <c r="F180" t="s">
        <v>20</v>
      </c>
      <c r="G180" t="s">
        <v>28</v>
      </c>
      <c r="H180" t="s">
        <v>73</v>
      </c>
      <c r="I180">
        <v>2</v>
      </c>
      <c r="J180">
        <v>2500</v>
      </c>
      <c r="K180">
        <v>0</v>
      </c>
      <c r="L180">
        <v>5000</v>
      </c>
      <c r="M180">
        <v>3400</v>
      </c>
      <c r="N180">
        <v>1600</v>
      </c>
      <c r="O180" t="s">
        <v>23</v>
      </c>
      <c r="P180" t="s">
        <v>42</v>
      </c>
      <c r="Q180" t="str">
        <f>TEXT(Table1[[#This Row],[Order_Date]],"mmm")</f>
        <v>Apr</v>
      </c>
      <c r="R180" t="b">
        <f t="shared" si="2"/>
        <v>1</v>
      </c>
      <c r="T180" s="6">
        <f>Table1[[#This Row],[Profit]]/Table1[[#This Row],[Sales]]</f>
        <v>0.32</v>
      </c>
    </row>
    <row r="181" spans="1:20" x14ac:dyDescent="0.3">
      <c r="A181" t="s">
        <v>276</v>
      </c>
      <c r="B181" s="17">
        <v>45974</v>
      </c>
      <c r="C181" t="s">
        <v>135</v>
      </c>
      <c r="D181" t="s">
        <v>136</v>
      </c>
      <c r="E181" t="s">
        <v>85</v>
      </c>
      <c r="F181" t="s">
        <v>78</v>
      </c>
      <c r="G181" t="s">
        <v>21</v>
      </c>
      <c r="H181" t="s">
        <v>22</v>
      </c>
      <c r="I181">
        <v>4</v>
      </c>
      <c r="J181">
        <v>900</v>
      </c>
      <c r="K181">
        <v>0</v>
      </c>
      <c r="L181">
        <v>3600</v>
      </c>
      <c r="M181">
        <v>2000</v>
      </c>
      <c r="N181">
        <v>1600</v>
      </c>
      <c r="O181" t="s">
        <v>58</v>
      </c>
      <c r="P181" t="s">
        <v>42</v>
      </c>
      <c r="Q181" t="str">
        <f>TEXT(Table1[[#This Row],[Order_Date]],"mmm")</f>
        <v>Nov</v>
      </c>
      <c r="R181" t="b">
        <f t="shared" si="2"/>
        <v>1</v>
      </c>
      <c r="T181" s="6">
        <f>Table1[[#This Row],[Profit]]/Table1[[#This Row],[Sales]]</f>
        <v>0.44444444444444442</v>
      </c>
    </row>
    <row r="182" spans="1:20" x14ac:dyDescent="0.3">
      <c r="A182" t="s">
        <v>277</v>
      </c>
      <c r="B182" s="17">
        <v>45680</v>
      </c>
      <c r="C182" t="s">
        <v>26</v>
      </c>
      <c r="D182" t="s">
        <v>27</v>
      </c>
      <c r="E182" t="s">
        <v>38</v>
      </c>
      <c r="F182" t="s">
        <v>34</v>
      </c>
      <c r="G182" t="s">
        <v>35</v>
      </c>
      <c r="H182" t="s">
        <v>36</v>
      </c>
      <c r="I182">
        <v>2</v>
      </c>
      <c r="J182">
        <v>12000</v>
      </c>
      <c r="K182">
        <v>0.05</v>
      </c>
      <c r="L182">
        <v>22800</v>
      </c>
      <c r="M182">
        <v>17000</v>
      </c>
      <c r="N182">
        <v>5800</v>
      </c>
      <c r="O182" t="s">
        <v>51</v>
      </c>
      <c r="P182" t="s">
        <v>24</v>
      </c>
      <c r="Q182" t="str">
        <f>TEXT(Table1[[#This Row],[Order_Date]],"mmm")</f>
        <v>Jan</v>
      </c>
      <c r="R182" t="b">
        <f t="shared" si="2"/>
        <v>1</v>
      </c>
      <c r="T182" s="6">
        <f>Table1[[#This Row],[Profit]]/Table1[[#This Row],[Sales]]</f>
        <v>0.25438596491228072</v>
      </c>
    </row>
    <row r="183" spans="1:20" x14ac:dyDescent="0.3">
      <c r="A183" t="s">
        <v>278</v>
      </c>
      <c r="B183" s="17">
        <v>45931</v>
      </c>
      <c r="C183" t="s">
        <v>47</v>
      </c>
      <c r="D183" t="s">
        <v>48</v>
      </c>
      <c r="E183" t="s">
        <v>44</v>
      </c>
      <c r="F183" t="s">
        <v>34</v>
      </c>
      <c r="G183" t="s">
        <v>21</v>
      </c>
      <c r="H183" t="s">
        <v>86</v>
      </c>
      <c r="I183">
        <v>4</v>
      </c>
      <c r="J183">
        <v>8000</v>
      </c>
      <c r="K183">
        <v>0.15</v>
      </c>
      <c r="L183">
        <v>27200</v>
      </c>
      <c r="M183">
        <v>22400</v>
      </c>
      <c r="N183">
        <v>4800</v>
      </c>
      <c r="O183" t="s">
        <v>51</v>
      </c>
      <c r="P183" t="s">
        <v>42</v>
      </c>
      <c r="Q183" t="str">
        <f>TEXT(Table1[[#This Row],[Order_Date]],"mmm")</f>
        <v>Oct</v>
      </c>
      <c r="R183" t="b">
        <f t="shared" si="2"/>
        <v>1</v>
      </c>
      <c r="T183" s="6">
        <f>Table1[[#This Row],[Profit]]/Table1[[#This Row],[Sales]]</f>
        <v>0.17647058823529413</v>
      </c>
    </row>
    <row r="184" spans="1:20" x14ac:dyDescent="0.3">
      <c r="A184" t="s">
        <v>279</v>
      </c>
      <c r="B184" s="17">
        <v>45802</v>
      </c>
      <c r="C184" t="s">
        <v>122</v>
      </c>
      <c r="D184" t="s">
        <v>123</v>
      </c>
      <c r="E184" t="s">
        <v>116</v>
      </c>
      <c r="F184" t="s">
        <v>78</v>
      </c>
      <c r="G184" t="s">
        <v>35</v>
      </c>
      <c r="H184" t="s">
        <v>69</v>
      </c>
      <c r="I184">
        <v>5</v>
      </c>
      <c r="J184">
        <v>3000</v>
      </c>
      <c r="K184">
        <v>0</v>
      </c>
      <c r="L184">
        <v>15000</v>
      </c>
      <c r="M184">
        <v>9500</v>
      </c>
      <c r="N184">
        <v>5500</v>
      </c>
      <c r="O184" t="s">
        <v>58</v>
      </c>
      <c r="P184" t="s">
        <v>42</v>
      </c>
      <c r="Q184" t="str">
        <f>TEXT(Table1[[#This Row],[Order_Date]],"mmm")</f>
        <v>May</v>
      </c>
      <c r="R184" t="b">
        <f t="shared" si="2"/>
        <v>1</v>
      </c>
      <c r="T184" s="6">
        <f>Table1[[#This Row],[Profit]]/Table1[[#This Row],[Sales]]</f>
        <v>0.36666666666666664</v>
      </c>
    </row>
    <row r="185" spans="1:20" x14ac:dyDescent="0.3">
      <c r="A185" t="s">
        <v>280</v>
      </c>
      <c r="B185" s="17">
        <v>45684</v>
      </c>
      <c r="C185" t="s">
        <v>90</v>
      </c>
      <c r="D185" t="s">
        <v>91</v>
      </c>
      <c r="E185" t="s">
        <v>60</v>
      </c>
      <c r="F185" t="s">
        <v>50</v>
      </c>
      <c r="G185" t="s">
        <v>28</v>
      </c>
      <c r="H185" t="s">
        <v>102</v>
      </c>
      <c r="I185">
        <v>3</v>
      </c>
      <c r="J185">
        <v>6000</v>
      </c>
      <c r="K185">
        <v>0.15</v>
      </c>
      <c r="L185">
        <v>15300</v>
      </c>
      <c r="M185">
        <v>12600</v>
      </c>
      <c r="N185">
        <v>2700</v>
      </c>
      <c r="O185" t="s">
        <v>23</v>
      </c>
      <c r="P185" t="s">
        <v>42</v>
      </c>
      <c r="Q185" t="str">
        <f>TEXT(Table1[[#This Row],[Order_Date]],"mmm")</f>
        <v>Jan</v>
      </c>
      <c r="R185" t="b">
        <f t="shared" si="2"/>
        <v>1</v>
      </c>
      <c r="T185" s="6">
        <f>Table1[[#This Row],[Profit]]/Table1[[#This Row],[Sales]]</f>
        <v>0.17647058823529413</v>
      </c>
    </row>
    <row r="186" spans="1:20" x14ac:dyDescent="0.3">
      <c r="A186" t="s">
        <v>281</v>
      </c>
      <c r="B186" s="17">
        <v>45700</v>
      </c>
      <c r="C186" t="s">
        <v>71</v>
      </c>
      <c r="D186" t="s">
        <v>72</v>
      </c>
      <c r="E186" t="s">
        <v>44</v>
      </c>
      <c r="F186" t="s">
        <v>34</v>
      </c>
      <c r="G186" t="s">
        <v>21</v>
      </c>
      <c r="H186" t="s">
        <v>86</v>
      </c>
      <c r="I186">
        <v>4</v>
      </c>
      <c r="J186">
        <v>8000</v>
      </c>
      <c r="K186">
        <v>0</v>
      </c>
      <c r="L186">
        <v>32000</v>
      </c>
      <c r="M186">
        <v>22400</v>
      </c>
      <c r="N186">
        <v>9600</v>
      </c>
      <c r="O186" t="s">
        <v>58</v>
      </c>
      <c r="P186" t="s">
        <v>42</v>
      </c>
      <c r="Q186" t="str">
        <f>TEXT(Table1[[#This Row],[Order_Date]],"mmm")</f>
        <v>Feb</v>
      </c>
      <c r="R186" t="b">
        <f t="shared" si="2"/>
        <v>1</v>
      </c>
      <c r="T186" s="6">
        <f>Table1[[#This Row],[Profit]]/Table1[[#This Row],[Sales]]</f>
        <v>0.3</v>
      </c>
    </row>
    <row r="187" spans="1:20" x14ac:dyDescent="0.3">
      <c r="A187" t="s">
        <v>282</v>
      </c>
      <c r="B187" s="17">
        <v>45836</v>
      </c>
      <c r="C187" t="s">
        <v>75</v>
      </c>
      <c r="D187" t="s">
        <v>76</v>
      </c>
      <c r="E187" t="s">
        <v>33</v>
      </c>
      <c r="F187" t="s">
        <v>34</v>
      </c>
      <c r="G187" t="s">
        <v>35</v>
      </c>
      <c r="H187" t="s">
        <v>36</v>
      </c>
      <c r="I187">
        <v>1</v>
      </c>
      <c r="J187">
        <v>7000</v>
      </c>
      <c r="K187">
        <v>0.05</v>
      </c>
      <c r="L187">
        <v>6650</v>
      </c>
      <c r="M187">
        <v>4800</v>
      </c>
      <c r="N187">
        <v>1850</v>
      </c>
      <c r="O187" t="s">
        <v>58</v>
      </c>
      <c r="P187" t="s">
        <v>42</v>
      </c>
      <c r="Q187" t="str">
        <f>TEXT(Table1[[#This Row],[Order_Date]],"mmm")</f>
        <v>Jun</v>
      </c>
      <c r="R187" t="b">
        <f t="shared" si="2"/>
        <v>1</v>
      </c>
      <c r="T187" s="6">
        <f>Table1[[#This Row],[Profit]]/Table1[[#This Row],[Sales]]</f>
        <v>0.2781954887218045</v>
      </c>
    </row>
    <row r="188" spans="1:20" x14ac:dyDescent="0.3">
      <c r="A188" t="s">
        <v>283</v>
      </c>
      <c r="B188" s="17">
        <v>45699</v>
      </c>
      <c r="C188" t="s">
        <v>53</v>
      </c>
      <c r="D188" t="s">
        <v>54</v>
      </c>
      <c r="E188" t="s">
        <v>65</v>
      </c>
      <c r="F188" t="s">
        <v>20</v>
      </c>
      <c r="G188" t="s">
        <v>40</v>
      </c>
      <c r="H188" t="s">
        <v>41</v>
      </c>
      <c r="I188">
        <v>1</v>
      </c>
      <c r="J188">
        <v>5000</v>
      </c>
      <c r="K188">
        <v>0.05</v>
      </c>
      <c r="L188">
        <v>4750</v>
      </c>
      <c r="M188">
        <v>3500</v>
      </c>
      <c r="N188">
        <v>1250</v>
      </c>
      <c r="O188" t="s">
        <v>58</v>
      </c>
      <c r="P188" t="s">
        <v>24</v>
      </c>
      <c r="Q188" t="str">
        <f>TEXT(Table1[[#This Row],[Order_Date]],"mmm")</f>
        <v>Feb</v>
      </c>
      <c r="R188" t="b">
        <f t="shared" si="2"/>
        <v>1</v>
      </c>
      <c r="T188" s="6">
        <f>Table1[[#This Row],[Profit]]/Table1[[#This Row],[Sales]]</f>
        <v>0.26315789473684209</v>
      </c>
    </row>
    <row r="189" spans="1:20" x14ac:dyDescent="0.3">
      <c r="A189" t="s">
        <v>284</v>
      </c>
      <c r="B189" s="17">
        <v>45677</v>
      </c>
      <c r="C189" t="s">
        <v>128</v>
      </c>
      <c r="D189" t="s">
        <v>129</v>
      </c>
      <c r="E189" t="s">
        <v>60</v>
      </c>
      <c r="F189" t="s">
        <v>50</v>
      </c>
      <c r="G189" t="s">
        <v>21</v>
      </c>
      <c r="H189" t="s">
        <v>95</v>
      </c>
      <c r="I189">
        <v>4</v>
      </c>
      <c r="J189">
        <v>6000</v>
      </c>
      <c r="K189">
        <v>0.1</v>
      </c>
      <c r="L189">
        <v>21600</v>
      </c>
      <c r="M189">
        <v>16800</v>
      </c>
      <c r="N189">
        <v>4800</v>
      </c>
      <c r="O189" t="s">
        <v>51</v>
      </c>
      <c r="P189" t="s">
        <v>24</v>
      </c>
      <c r="Q189" t="str">
        <f>TEXT(Table1[[#This Row],[Order_Date]],"mmm")</f>
        <v>Jan</v>
      </c>
      <c r="R189" t="b">
        <f t="shared" si="2"/>
        <v>1</v>
      </c>
      <c r="T189" s="6">
        <f>Table1[[#This Row],[Profit]]/Table1[[#This Row],[Sales]]</f>
        <v>0.22222222222222221</v>
      </c>
    </row>
    <row r="190" spans="1:20" x14ac:dyDescent="0.3">
      <c r="A190" t="s">
        <v>285</v>
      </c>
      <c r="B190" s="17">
        <v>45698</v>
      </c>
      <c r="C190" t="s">
        <v>75</v>
      </c>
      <c r="D190" t="s">
        <v>76</v>
      </c>
      <c r="E190" t="s">
        <v>44</v>
      </c>
      <c r="F190" t="s">
        <v>34</v>
      </c>
      <c r="G190" t="s">
        <v>21</v>
      </c>
      <c r="H190" t="s">
        <v>95</v>
      </c>
      <c r="I190">
        <v>2</v>
      </c>
      <c r="J190">
        <v>8000</v>
      </c>
      <c r="K190">
        <v>0.15</v>
      </c>
      <c r="L190">
        <v>13600</v>
      </c>
      <c r="M190">
        <v>11200</v>
      </c>
      <c r="N190">
        <v>2400</v>
      </c>
      <c r="O190" t="s">
        <v>51</v>
      </c>
      <c r="P190" t="s">
        <v>24</v>
      </c>
      <c r="Q190" t="str">
        <f>TEXT(Table1[[#This Row],[Order_Date]],"mmm")</f>
        <v>Feb</v>
      </c>
      <c r="R190" t="b">
        <f t="shared" si="2"/>
        <v>1</v>
      </c>
      <c r="T190" s="6">
        <f>Table1[[#This Row],[Profit]]/Table1[[#This Row],[Sales]]</f>
        <v>0.17647058823529413</v>
      </c>
    </row>
    <row r="191" spans="1:20" x14ac:dyDescent="0.3">
      <c r="A191" t="s">
        <v>286</v>
      </c>
      <c r="B191" s="17">
        <v>45805</v>
      </c>
      <c r="C191" t="s">
        <v>47</v>
      </c>
      <c r="D191" t="s">
        <v>48</v>
      </c>
      <c r="E191" t="s">
        <v>44</v>
      </c>
      <c r="F191" t="s">
        <v>34</v>
      </c>
      <c r="G191" t="s">
        <v>28</v>
      </c>
      <c r="H191" t="s">
        <v>29</v>
      </c>
      <c r="I191">
        <v>1</v>
      </c>
      <c r="J191">
        <v>8000</v>
      </c>
      <c r="K191">
        <v>0.1</v>
      </c>
      <c r="L191">
        <v>7200</v>
      </c>
      <c r="M191">
        <v>5600</v>
      </c>
      <c r="N191">
        <v>1600</v>
      </c>
      <c r="O191" t="s">
        <v>51</v>
      </c>
      <c r="P191" t="s">
        <v>24</v>
      </c>
      <c r="Q191" t="str">
        <f>TEXT(Table1[[#This Row],[Order_Date]],"mmm")</f>
        <v>May</v>
      </c>
      <c r="R191" t="b">
        <f t="shared" si="2"/>
        <v>1</v>
      </c>
      <c r="T191" s="6">
        <f>Table1[[#This Row],[Profit]]/Table1[[#This Row],[Sales]]</f>
        <v>0.22222222222222221</v>
      </c>
    </row>
    <row r="192" spans="1:20" x14ac:dyDescent="0.3">
      <c r="A192" t="s">
        <v>287</v>
      </c>
      <c r="B192" s="17">
        <v>45714</v>
      </c>
      <c r="C192" t="s">
        <v>90</v>
      </c>
      <c r="D192" t="s">
        <v>91</v>
      </c>
      <c r="E192" t="s">
        <v>85</v>
      </c>
      <c r="F192" t="s">
        <v>78</v>
      </c>
      <c r="G192" t="s">
        <v>28</v>
      </c>
      <c r="H192" t="s">
        <v>102</v>
      </c>
      <c r="I192">
        <v>5</v>
      </c>
      <c r="J192">
        <v>900</v>
      </c>
      <c r="K192">
        <v>0.15</v>
      </c>
      <c r="L192">
        <v>3825</v>
      </c>
      <c r="M192">
        <v>2500</v>
      </c>
      <c r="N192">
        <v>1325</v>
      </c>
      <c r="O192" t="s">
        <v>58</v>
      </c>
      <c r="P192" t="s">
        <v>24</v>
      </c>
      <c r="Q192" t="str">
        <f>TEXT(Table1[[#This Row],[Order_Date]],"mmm")</f>
        <v>Feb</v>
      </c>
      <c r="R192" t="b">
        <f t="shared" si="2"/>
        <v>1</v>
      </c>
      <c r="T192" s="6">
        <f>Table1[[#This Row],[Profit]]/Table1[[#This Row],[Sales]]</f>
        <v>0.34640522875816993</v>
      </c>
    </row>
    <row r="193" spans="1:20" x14ac:dyDescent="0.3">
      <c r="A193" t="s">
        <v>288</v>
      </c>
      <c r="B193" s="17">
        <v>45807</v>
      </c>
      <c r="C193" t="s">
        <v>26</v>
      </c>
      <c r="D193" t="s">
        <v>27</v>
      </c>
      <c r="E193" t="s">
        <v>19</v>
      </c>
      <c r="F193" t="s">
        <v>20</v>
      </c>
      <c r="G193" t="s">
        <v>40</v>
      </c>
      <c r="H193" t="s">
        <v>41</v>
      </c>
      <c r="I193">
        <v>5</v>
      </c>
      <c r="J193">
        <v>55000</v>
      </c>
      <c r="K193">
        <v>0.15</v>
      </c>
      <c r="L193">
        <v>233750</v>
      </c>
      <c r="M193">
        <v>225000</v>
      </c>
      <c r="N193">
        <v>8750</v>
      </c>
      <c r="O193" t="s">
        <v>51</v>
      </c>
      <c r="P193" t="s">
        <v>24</v>
      </c>
      <c r="Q193" t="str">
        <f>TEXT(Table1[[#This Row],[Order_Date]],"mmm")</f>
        <v>May</v>
      </c>
      <c r="R193" t="b">
        <f t="shared" si="2"/>
        <v>1</v>
      </c>
      <c r="T193" s="6">
        <f>Table1[[#This Row],[Profit]]/Table1[[#This Row],[Sales]]</f>
        <v>3.7433155080213901E-2</v>
      </c>
    </row>
    <row r="194" spans="1:20" x14ac:dyDescent="0.3">
      <c r="A194" t="s">
        <v>289</v>
      </c>
      <c r="B194" s="17">
        <v>45998</v>
      </c>
      <c r="C194" t="s">
        <v>119</v>
      </c>
      <c r="D194" t="s">
        <v>120</v>
      </c>
      <c r="E194" t="s">
        <v>116</v>
      </c>
      <c r="F194" t="s">
        <v>78</v>
      </c>
      <c r="G194" t="s">
        <v>28</v>
      </c>
      <c r="H194" t="s">
        <v>102</v>
      </c>
      <c r="I194">
        <v>3</v>
      </c>
      <c r="J194">
        <v>3000</v>
      </c>
      <c r="K194">
        <v>0.15</v>
      </c>
      <c r="L194">
        <v>7650</v>
      </c>
      <c r="M194">
        <v>5700</v>
      </c>
      <c r="N194">
        <v>1950</v>
      </c>
      <c r="O194" t="s">
        <v>23</v>
      </c>
      <c r="P194" t="s">
        <v>42</v>
      </c>
      <c r="Q194" t="str">
        <f>TEXT(Table1[[#This Row],[Order_Date]],"mmm")</f>
        <v>Dec</v>
      </c>
      <c r="R194" t="b">
        <f t="shared" ref="R194:R257" si="3">ISNUMBER(B194)</f>
        <v>1</v>
      </c>
      <c r="T194" s="6">
        <f>Table1[[#This Row],[Profit]]/Table1[[#This Row],[Sales]]</f>
        <v>0.25490196078431371</v>
      </c>
    </row>
    <row r="195" spans="1:20" x14ac:dyDescent="0.3">
      <c r="A195" t="s">
        <v>290</v>
      </c>
      <c r="B195" s="17">
        <v>45898</v>
      </c>
      <c r="C195" t="s">
        <v>100</v>
      </c>
      <c r="D195" t="s">
        <v>101</v>
      </c>
      <c r="E195" t="s">
        <v>77</v>
      </c>
      <c r="F195" t="s">
        <v>78</v>
      </c>
      <c r="G195" t="s">
        <v>40</v>
      </c>
      <c r="H195" t="s">
        <v>61</v>
      </c>
      <c r="I195">
        <v>4</v>
      </c>
      <c r="J195">
        <v>1800</v>
      </c>
      <c r="K195">
        <v>0</v>
      </c>
      <c r="L195">
        <v>7200</v>
      </c>
      <c r="M195">
        <v>4400</v>
      </c>
      <c r="N195">
        <v>2800</v>
      </c>
      <c r="O195" t="s">
        <v>97</v>
      </c>
      <c r="P195" t="s">
        <v>24</v>
      </c>
      <c r="Q195" t="str">
        <f>TEXT(Table1[[#This Row],[Order_Date]],"mmm")</f>
        <v>Aug</v>
      </c>
      <c r="R195" t="b">
        <f t="shared" si="3"/>
        <v>1</v>
      </c>
      <c r="T195" s="6">
        <f>Table1[[#This Row],[Profit]]/Table1[[#This Row],[Sales]]</f>
        <v>0.3888888888888889</v>
      </c>
    </row>
    <row r="196" spans="1:20" x14ac:dyDescent="0.3">
      <c r="A196" t="s">
        <v>291</v>
      </c>
      <c r="B196" s="17">
        <v>45834</v>
      </c>
      <c r="C196" t="s">
        <v>47</v>
      </c>
      <c r="D196" t="s">
        <v>48</v>
      </c>
      <c r="E196" t="s">
        <v>67</v>
      </c>
      <c r="F196" t="s">
        <v>50</v>
      </c>
      <c r="G196" t="s">
        <v>40</v>
      </c>
      <c r="H196" t="s">
        <v>41</v>
      </c>
      <c r="I196">
        <v>1</v>
      </c>
      <c r="J196">
        <v>4500</v>
      </c>
      <c r="K196">
        <v>0</v>
      </c>
      <c r="L196">
        <v>4500</v>
      </c>
      <c r="M196">
        <v>3100</v>
      </c>
      <c r="N196">
        <v>1400</v>
      </c>
      <c r="O196" t="s">
        <v>97</v>
      </c>
      <c r="P196" t="s">
        <v>42</v>
      </c>
      <c r="Q196" t="str">
        <f>TEXT(Table1[[#This Row],[Order_Date]],"mmm")</f>
        <v>Jun</v>
      </c>
      <c r="R196" t="b">
        <f t="shared" si="3"/>
        <v>1</v>
      </c>
      <c r="T196" s="6">
        <f>Table1[[#This Row],[Profit]]/Table1[[#This Row],[Sales]]</f>
        <v>0.31111111111111112</v>
      </c>
    </row>
    <row r="197" spans="1:20" x14ac:dyDescent="0.3">
      <c r="A197" t="s">
        <v>292</v>
      </c>
      <c r="B197" s="17">
        <v>45987</v>
      </c>
      <c r="C197" t="s">
        <v>71</v>
      </c>
      <c r="D197" t="s">
        <v>72</v>
      </c>
      <c r="E197" t="s">
        <v>60</v>
      </c>
      <c r="F197" t="s">
        <v>50</v>
      </c>
      <c r="G197" t="s">
        <v>35</v>
      </c>
      <c r="H197" t="s">
        <v>36</v>
      </c>
      <c r="I197">
        <v>4</v>
      </c>
      <c r="J197">
        <v>6000</v>
      </c>
      <c r="K197">
        <v>0</v>
      </c>
      <c r="L197">
        <v>24000</v>
      </c>
      <c r="M197">
        <v>16800</v>
      </c>
      <c r="N197">
        <v>7200</v>
      </c>
      <c r="O197" t="s">
        <v>58</v>
      </c>
      <c r="P197" t="s">
        <v>24</v>
      </c>
      <c r="Q197" t="str">
        <f>TEXT(Table1[[#This Row],[Order_Date]],"mmm")</f>
        <v>Nov</v>
      </c>
      <c r="R197" t="b">
        <f t="shared" si="3"/>
        <v>1</v>
      </c>
      <c r="T197" s="6">
        <f>Table1[[#This Row],[Profit]]/Table1[[#This Row],[Sales]]</f>
        <v>0.3</v>
      </c>
    </row>
    <row r="198" spans="1:20" x14ac:dyDescent="0.3">
      <c r="A198" t="s">
        <v>293</v>
      </c>
      <c r="B198" s="17">
        <v>45892</v>
      </c>
      <c r="C198" t="s">
        <v>100</v>
      </c>
      <c r="D198" t="s">
        <v>101</v>
      </c>
      <c r="E198" t="s">
        <v>44</v>
      </c>
      <c r="F198" t="s">
        <v>34</v>
      </c>
      <c r="G198" t="s">
        <v>28</v>
      </c>
      <c r="H198" t="s">
        <v>29</v>
      </c>
      <c r="I198">
        <v>2</v>
      </c>
      <c r="J198">
        <v>8000</v>
      </c>
      <c r="K198">
        <v>0</v>
      </c>
      <c r="L198">
        <v>16000</v>
      </c>
      <c r="M198">
        <v>11200</v>
      </c>
      <c r="N198">
        <v>4800</v>
      </c>
      <c r="O198" t="s">
        <v>97</v>
      </c>
      <c r="P198" t="s">
        <v>42</v>
      </c>
      <c r="Q198" t="str">
        <f>TEXT(Table1[[#This Row],[Order_Date]],"mmm")</f>
        <v>Aug</v>
      </c>
      <c r="R198" t="b">
        <f t="shared" si="3"/>
        <v>1</v>
      </c>
      <c r="T198" s="6">
        <f>Table1[[#This Row],[Profit]]/Table1[[#This Row],[Sales]]</f>
        <v>0.3</v>
      </c>
    </row>
    <row r="199" spans="1:20" x14ac:dyDescent="0.3">
      <c r="A199" t="s">
        <v>294</v>
      </c>
      <c r="B199" s="17">
        <v>45921</v>
      </c>
      <c r="C199" t="s">
        <v>122</v>
      </c>
      <c r="D199" t="s">
        <v>123</v>
      </c>
      <c r="E199" t="s">
        <v>60</v>
      </c>
      <c r="F199" t="s">
        <v>50</v>
      </c>
      <c r="G199" t="s">
        <v>35</v>
      </c>
      <c r="H199" t="s">
        <v>57</v>
      </c>
      <c r="I199">
        <v>5</v>
      </c>
      <c r="J199">
        <v>6000</v>
      </c>
      <c r="K199">
        <v>0</v>
      </c>
      <c r="L199">
        <v>30000</v>
      </c>
      <c r="M199">
        <v>21000</v>
      </c>
      <c r="N199">
        <v>9000</v>
      </c>
      <c r="O199" t="s">
        <v>58</v>
      </c>
      <c r="P199" t="s">
        <v>42</v>
      </c>
      <c r="Q199" t="str">
        <f>TEXT(Table1[[#This Row],[Order_Date]],"mmm")</f>
        <v>Sep</v>
      </c>
      <c r="R199" t="b">
        <f t="shared" si="3"/>
        <v>1</v>
      </c>
      <c r="T199" s="6">
        <f>Table1[[#This Row],[Profit]]/Table1[[#This Row],[Sales]]</f>
        <v>0.3</v>
      </c>
    </row>
    <row r="200" spans="1:20" x14ac:dyDescent="0.3">
      <c r="A200" t="s">
        <v>295</v>
      </c>
      <c r="B200" s="17">
        <v>45840</v>
      </c>
      <c r="C200" t="s">
        <v>100</v>
      </c>
      <c r="D200" t="s">
        <v>101</v>
      </c>
      <c r="E200" t="s">
        <v>60</v>
      </c>
      <c r="F200" t="s">
        <v>50</v>
      </c>
      <c r="G200" t="s">
        <v>40</v>
      </c>
      <c r="H200" t="s">
        <v>41</v>
      </c>
      <c r="I200">
        <v>3</v>
      </c>
      <c r="J200">
        <v>6000</v>
      </c>
      <c r="K200">
        <v>0.05</v>
      </c>
      <c r="L200">
        <v>17100</v>
      </c>
      <c r="M200">
        <v>12600</v>
      </c>
      <c r="N200">
        <v>4500</v>
      </c>
      <c r="O200" t="s">
        <v>51</v>
      </c>
      <c r="P200" t="s">
        <v>42</v>
      </c>
      <c r="Q200" t="str">
        <f>TEXT(Table1[[#This Row],[Order_Date]],"mmm")</f>
        <v>Jul</v>
      </c>
      <c r="R200" t="b">
        <f t="shared" si="3"/>
        <v>1</v>
      </c>
      <c r="T200" s="6">
        <f>Table1[[#This Row],[Profit]]/Table1[[#This Row],[Sales]]</f>
        <v>0.26315789473684209</v>
      </c>
    </row>
    <row r="201" spans="1:20" x14ac:dyDescent="0.3">
      <c r="A201" t="s">
        <v>296</v>
      </c>
      <c r="B201" s="17">
        <v>45883</v>
      </c>
      <c r="C201" t="s">
        <v>122</v>
      </c>
      <c r="D201" t="s">
        <v>123</v>
      </c>
      <c r="E201" t="s">
        <v>38</v>
      </c>
      <c r="F201" t="s">
        <v>34</v>
      </c>
      <c r="G201" t="s">
        <v>35</v>
      </c>
      <c r="H201" t="s">
        <v>36</v>
      </c>
      <c r="I201">
        <v>2</v>
      </c>
      <c r="J201">
        <v>12000</v>
      </c>
      <c r="K201">
        <v>0.1</v>
      </c>
      <c r="L201">
        <v>21600</v>
      </c>
      <c r="M201">
        <v>17000</v>
      </c>
      <c r="N201">
        <v>4600</v>
      </c>
      <c r="O201" t="s">
        <v>97</v>
      </c>
      <c r="P201" t="s">
        <v>42</v>
      </c>
      <c r="Q201" t="str">
        <f>TEXT(Table1[[#This Row],[Order_Date]],"mmm")</f>
        <v>Aug</v>
      </c>
      <c r="R201" t="b">
        <f t="shared" si="3"/>
        <v>1</v>
      </c>
      <c r="T201" s="6">
        <f>Table1[[#This Row],[Profit]]/Table1[[#This Row],[Sales]]</f>
        <v>0.21296296296296297</v>
      </c>
    </row>
    <row r="202" spans="1:20" x14ac:dyDescent="0.3">
      <c r="A202" t="s">
        <v>297</v>
      </c>
      <c r="B202" s="17">
        <v>45700</v>
      </c>
      <c r="C202" t="s">
        <v>26</v>
      </c>
      <c r="D202" t="s">
        <v>27</v>
      </c>
      <c r="E202" t="s">
        <v>88</v>
      </c>
      <c r="F202" t="s">
        <v>20</v>
      </c>
      <c r="G202" t="s">
        <v>21</v>
      </c>
      <c r="H202" t="s">
        <v>95</v>
      </c>
      <c r="I202">
        <v>4</v>
      </c>
      <c r="J202">
        <v>25000</v>
      </c>
      <c r="K202">
        <v>0.05</v>
      </c>
      <c r="L202">
        <v>95000</v>
      </c>
      <c r="M202">
        <v>82000</v>
      </c>
      <c r="N202">
        <v>13000</v>
      </c>
      <c r="O202" t="s">
        <v>97</v>
      </c>
      <c r="P202" t="s">
        <v>24</v>
      </c>
      <c r="Q202" t="str">
        <f>TEXT(Table1[[#This Row],[Order_Date]],"mmm")</f>
        <v>Feb</v>
      </c>
      <c r="R202" t="b">
        <f t="shared" si="3"/>
        <v>1</v>
      </c>
      <c r="T202" s="6">
        <f>Table1[[#This Row],[Profit]]/Table1[[#This Row],[Sales]]</f>
        <v>0.1368421052631579</v>
      </c>
    </row>
    <row r="203" spans="1:20" x14ac:dyDescent="0.3">
      <c r="A203" t="s">
        <v>298</v>
      </c>
      <c r="B203" s="17">
        <v>45698</v>
      </c>
      <c r="C203" t="s">
        <v>63</v>
      </c>
      <c r="D203" t="s">
        <v>64</v>
      </c>
      <c r="E203" t="s">
        <v>77</v>
      </c>
      <c r="F203" t="s">
        <v>78</v>
      </c>
      <c r="G203" t="s">
        <v>40</v>
      </c>
      <c r="H203" t="s">
        <v>61</v>
      </c>
      <c r="I203">
        <v>3</v>
      </c>
      <c r="J203">
        <v>1800</v>
      </c>
      <c r="K203">
        <v>0.15</v>
      </c>
      <c r="L203">
        <v>4590</v>
      </c>
      <c r="M203">
        <v>3300</v>
      </c>
      <c r="N203">
        <v>1290</v>
      </c>
      <c r="O203" t="s">
        <v>51</v>
      </c>
      <c r="P203" t="s">
        <v>24</v>
      </c>
      <c r="Q203" t="str">
        <f>TEXT(Table1[[#This Row],[Order_Date]],"mmm")</f>
        <v>Feb</v>
      </c>
      <c r="R203" t="b">
        <f t="shared" si="3"/>
        <v>1</v>
      </c>
      <c r="T203" s="6">
        <f>Table1[[#This Row],[Profit]]/Table1[[#This Row],[Sales]]</f>
        <v>0.28104575163398693</v>
      </c>
    </row>
    <row r="204" spans="1:20" x14ac:dyDescent="0.3">
      <c r="A204" t="s">
        <v>299</v>
      </c>
      <c r="B204" s="17">
        <v>46011</v>
      </c>
      <c r="C204" t="s">
        <v>107</v>
      </c>
      <c r="D204" t="s">
        <v>108</v>
      </c>
      <c r="E204" t="s">
        <v>38</v>
      </c>
      <c r="F204" t="s">
        <v>34</v>
      </c>
      <c r="G204" t="s">
        <v>28</v>
      </c>
      <c r="H204" t="s">
        <v>102</v>
      </c>
      <c r="I204">
        <v>4</v>
      </c>
      <c r="J204">
        <v>12000</v>
      </c>
      <c r="K204">
        <v>0.05</v>
      </c>
      <c r="L204">
        <v>45600</v>
      </c>
      <c r="M204">
        <v>34000</v>
      </c>
      <c r="N204">
        <v>11600</v>
      </c>
      <c r="O204" t="s">
        <v>51</v>
      </c>
      <c r="P204" t="s">
        <v>42</v>
      </c>
      <c r="Q204" t="str">
        <f>TEXT(Table1[[#This Row],[Order_Date]],"mmm")</f>
        <v>Dec</v>
      </c>
      <c r="R204" t="b">
        <f t="shared" si="3"/>
        <v>1</v>
      </c>
      <c r="T204" s="6">
        <f>Table1[[#This Row],[Profit]]/Table1[[#This Row],[Sales]]</f>
        <v>0.25438596491228072</v>
      </c>
    </row>
    <row r="205" spans="1:20" x14ac:dyDescent="0.3">
      <c r="A205" t="s">
        <v>300</v>
      </c>
      <c r="B205" s="17">
        <v>45985</v>
      </c>
      <c r="C205" t="s">
        <v>100</v>
      </c>
      <c r="D205" t="s">
        <v>101</v>
      </c>
      <c r="E205" t="s">
        <v>88</v>
      </c>
      <c r="F205" t="s">
        <v>20</v>
      </c>
      <c r="G205" t="s">
        <v>40</v>
      </c>
      <c r="H205" t="s">
        <v>45</v>
      </c>
      <c r="I205">
        <v>4</v>
      </c>
      <c r="J205">
        <v>25000</v>
      </c>
      <c r="K205">
        <v>0</v>
      </c>
      <c r="L205">
        <v>100000</v>
      </c>
      <c r="M205">
        <v>82000</v>
      </c>
      <c r="N205">
        <v>18000</v>
      </c>
      <c r="O205" t="s">
        <v>23</v>
      </c>
      <c r="P205" t="s">
        <v>24</v>
      </c>
      <c r="Q205" t="str">
        <f>TEXT(Table1[[#This Row],[Order_Date]],"mmm")</f>
        <v>Nov</v>
      </c>
      <c r="R205" t="b">
        <f t="shared" si="3"/>
        <v>1</v>
      </c>
      <c r="T205" s="6">
        <f>Table1[[#This Row],[Profit]]/Table1[[#This Row],[Sales]]</f>
        <v>0.18</v>
      </c>
    </row>
    <row r="206" spans="1:20" x14ac:dyDescent="0.3">
      <c r="A206" t="s">
        <v>301</v>
      </c>
      <c r="B206" s="17">
        <v>45969</v>
      </c>
      <c r="C206" t="s">
        <v>107</v>
      </c>
      <c r="D206" t="s">
        <v>108</v>
      </c>
      <c r="E206" t="s">
        <v>19</v>
      </c>
      <c r="F206" t="s">
        <v>20</v>
      </c>
      <c r="G206" t="s">
        <v>28</v>
      </c>
      <c r="H206" t="s">
        <v>29</v>
      </c>
      <c r="I206">
        <v>2</v>
      </c>
      <c r="J206">
        <v>55000</v>
      </c>
      <c r="K206">
        <v>0.05</v>
      </c>
      <c r="L206">
        <v>104500</v>
      </c>
      <c r="M206">
        <v>90000</v>
      </c>
      <c r="N206">
        <v>14500</v>
      </c>
      <c r="O206" t="s">
        <v>97</v>
      </c>
      <c r="P206" t="s">
        <v>42</v>
      </c>
      <c r="Q206" t="str">
        <f>TEXT(Table1[[#This Row],[Order_Date]],"mmm")</f>
        <v>Nov</v>
      </c>
      <c r="R206" t="b">
        <f t="shared" si="3"/>
        <v>1</v>
      </c>
      <c r="T206" s="6">
        <f>Table1[[#This Row],[Profit]]/Table1[[#This Row],[Sales]]</f>
        <v>0.13875598086124402</v>
      </c>
    </row>
    <row r="207" spans="1:20" x14ac:dyDescent="0.3">
      <c r="A207" t="s">
        <v>302</v>
      </c>
      <c r="B207" s="17">
        <v>45948</v>
      </c>
      <c r="C207" t="s">
        <v>100</v>
      </c>
      <c r="D207" t="s">
        <v>101</v>
      </c>
      <c r="E207" t="s">
        <v>85</v>
      </c>
      <c r="F207" t="s">
        <v>78</v>
      </c>
      <c r="G207" t="s">
        <v>35</v>
      </c>
      <c r="H207" t="s">
        <v>57</v>
      </c>
      <c r="I207">
        <v>2</v>
      </c>
      <c r="J207">
        <v>900</v>
      </c>
      <c r="K207">
        <v>0.05</v>
      </c>
      <c r="L207">
        <v>1710</v>
      </c>
      <c r="M207">
        <v>1000</v>
      </c>
      <c r="N207">
        <v>710</v>
      </c>
      <c r="O207" t="s">
        <v>51</v>
      </c>
      <c r="P207" t="s">
        <v>24</v>
      </c>
      <c r="Q207" t="str">
        <f>TEXT(Table1[[#This Row],[Order_Date]],"mmm")</f>
        <v>Oct</v>
      </c>
      <c r="R207" t="b">
        <f t="shared" si="3"/>
        <v>1</v>
      </c>
      <c r="T207" s="6">
        <f>Table1[[#This Row],[Profit]]/Table1[[#This Row],[Sales]]</f>
        <v>0.41520467836257308</v>
      </c>
    </row>
    <row r="208" spans="1:20" x14ac:dyDescent="0.3">
      <c r="A208" t="s">
        <v>303</v>
      </c>
      <c r="B208" s="17">
        <v>45951</v>
      </c>
      <c r="C208" t="s">
        <v>135</v>
      </c>
      <c r="D208" t="s">
        <v>136</v>
      </c>
      <c r="E208" t="s">
        <v>116</v>
      </c>
      <c r="F208" t="s">
        <v>78</v>
      </c>
      <c r="G208" t="s">
        <v>35</v>
      </c>
      <c r="H208" t="s">
        <v>57</v>
      </c>
      <c r="I208">
        <v>3</v>
      </c>
      <c r="J208">
        <v>3000</v>
      </c>
      <c r="K208">
        <v>0.05</v>
      </c>
      <c r="L208">
        <v>8550</v>
      </c>
      <c r="M208">
        <v>5700</v>
      </c>
      <c r="N208">
        <v>2850</v>
      </c>
      <c r="O208" t="s">
        <v>58</v>
      </c>
      <c r="P208" t="s">
        <v>24</v>
      </c>
      <c r="Q208" t="str">
        <f>TEXT(Table1[[#This Row],[Order_Date]],"mmm")</f>
        <v>Oct</v>
      </c>
      <c r="R208" t="b">
        <f t="shared" si="3"/>
        <v>1</v>
      </c>
      <c r="T208" s="6">
        <f>Table1[[#This Row],[Profit]]/Table1[[#This Row],[Sales]]</f>
        <v>0.33333333333333331</v>
      </c>
    </row>
    <row r="209" spans="1:20" x14ac:dyDescent="0.3">
      <c r="A209" t="s">
        <v>304</v>
      </c>
      <c r="B209" s="17">
        <v>45671</v>
      </c>
      <c r="C209" t="s">
        <v>71</v>
      </c>
      <c r="D209" t="s">
        <v>72</v>
      </c>
      <c r="E209" t="s">
        <v>80</v>
      </c>
      <c r="F209" t="s">
        <v>81</v>
      </c>
      <c r="G209" t="s">
        <v>35</v>
      </c>
      <c r="H209" t="s">
        <v>36</v>
      </c>
      <c r="I209">
        <v>5</v>
      </c>
      <c r="J209">
        <v>1800</v>
      </c>
      <c r="K209">
        <v>0</v>
      </c>
      <c r="L209">
        <v>9000</v>
      </c>
      <c r="M209">
        <v>5500</v>
      </c>
      <c r="N209">
        <v>3500</v>
      </c>
      <c r="O209" t="s">
        <v>97</v>
      </c>
      <c r="P209" t="s">
        <v>42</v>
      </c>
      <c r="Q209" t="str">
        <f>TEXT(Table1[[#This Row],[Order_Date]],"mmm")</f>
        <v>Jan</v>
      </c>
      <c r="R209" t="b">
        <f t="shared" si="3"/>
        <v>1</v>
      </c>
      <c r="T209" s="6">
        <f>Table1[[#This Row],[Profit]]/Table1[[#This Row],[Sales]]</f>
        <v>0.3888888888888889</v>
      </c>
    </row>
    <row r="210" spans="1:20" x14ac:dyDescent="0.3">
      <c r="A210" t="s">
        <v>305</v>
      </c>
      <c r="B210" s="17">
        <v>46018</v>
      </c>
      <c r="C210" t="s">
        <v>107</v>
      </c>
      <c r="D210" t="s">
        <v>108</v>
      </c>
      <c r="E210" t="s">
        <v>65</v>
      </c>
      <c r="F210" t="s">
        <v>20</v>
      </c>
      <c r="G210" t="s">
        <v>40</v>
      </c>
      <c r="H210" t="s">
        <v>45</v>
      </c>
      <c r="I210">
        <v>5</v>
      </c>
      <c r="J210">
        <v>5000</v>
      </c>
      <c r="K210">
        <v>0.1</v>
      </c>
      <c r="L210">
        <v>22500</v>
      </c>
      <c r="M210">
        <v>17500</v>
      </c>
      <c r="N210">
        <v>5000</v>
      </c>
      <c r="O210" t="s">
        <v>58</v>
      </c>
      <c r="P210" t="s">
        <v>24</v>
      </c>
      <c r="Q210" t="str">
        <f>TEXT(Table1[[#This Row],[Order_Date]],"mmm")</f>
        <v>Dec</v>
      </c>
      <c r="R210" t="b">
        <f t="shared" si="3"/>
        <v>1</v>
      </c>
      <c r="T210" s="6">
        <f>Table1[[#This Row],[Profit]]/Table1[[#This Row],[Sales]]</f>
        <v>0.22222222222222221</v>
      </c>
    </row>
    <row r="211" spans="1:20" x14ac:dyDescent="0.3">
      <c r="A211" t="s">
        <v>306</v>
      </c>
      <c r="B211" s="17">
        <v>45727</v>
      </c>
      <c r="C211" t="s">
        <v>119</v>
      </c>
      <c r="D211" t="s">
        <v>120</v>
      </c>
      <c r="E211" t="s">
        <v>80</v>
      </c>
      <c r="F211" t="s">
        <v>81</v>
      </c>
      <c r="G211" t="s">
        <v>35</v>
      </c>
      <c r="H211" t="s">
        <v>69</v>
      </c>
      <c r="I211">
        <v>2</v>
      </c>
      <c r="J211">
        <v>1800</v>
      </c>
      <c r="K211">
        <v>0.05</v>
      </c>
      <c r="L211">
        <v>3420</v>
      </c>
      <c r="M211">
        <v>2200</v>
      </c>
      <c r="N211">
        <v>1220</v>
      </c>
      <c r="O211" t="s">
        <v>97</v>
      </c>
      <c r="P211" t="s">
        <v>24</v>
      </c>
      <c r="Q211" t="str">
        <f>TEXT(Table1[[#This Row],[Order_Date]],"mmm")</f>
        <v>Mar</v>
      </c>
      <c r="R211" t="b">
        <f t="shared" si="3"/>
        <v>1</v>
      </c>
      <c r="T211" s="6">
        <f>Table1[[#This Row],[Profit]]/Table1[[#This Row],[Sales]]</f>
        <v>0.35672514619883039</v>
      </c>
    </row>
    <row r="212" spans="1:20" x14ac:dyDescent="0.3">
      <c r="A212" t="s">
        <v>307</v>
      </c>
      <c r="B212" s="17">
        <v>45939</v>
      </c>
      <c r="C212" t="s">
        <v>31</v>
      </c>
      <c r="D212" t="s">
        <v>32</v>
      </c>
      <c r="E212" t="s">
        <v>44</v>
      </c>
      <c r="F212" t="s">
        <v>34</v>
      </c>
      <c r="G212" t="s">
        <v>21</v>
      </c>
      <c r="H212" t="s">
        <v>95</v>
      </c>
      <c r="I212">
        <v>3</v>
      </c>
      <c r="J212">
        <v>8000</v>
      </c>
      <c r="K212">
        <v>0</v>
      </c>
      <c r="L212">
        <v>24000</v>
      </c>
      <c r="M212">
        <v>16800</v>
      </c>
      <c r="N212">
        <v>7200</v>
      </c>
      <c r="O212" t="s">
        <v>97</v>
      </c>
      <c r="P212" t="s">
        <v>24</v>
      </c>
      <c r="Q212" t="str">
        <f>TEXT(Table1[[#This Row],[Order_Date]],"mmm")</f>
        <v>Oct</v>
      </c>
      <c r="R212" t="b">
        <f t="shared" si="3"/>
        <v>1</v>
      </c>
      <c r="T212" s="6">
        <f>Table1[[#This Row],[Profit]]/Table1[[#This Row],[Sales]]</f>
        <v>0.3</v>
      </c>
    </row>
    <row r="213" spans="1:20" x14ac:dyDescent="0.3">
      <c r="A213" t="s">
        <v>308</v>
      </c>
      <c r="B213" s="17">
        <v>45720</v>
      </c>
      <c r="C213" t="s">
        <v>207</v>
      </c>
      <c r="D213" t="s">
        <v>208</v>
      </c>
      <c r="E213" t="s">
        <v>49</v>
      </c>
      <c r="F213" t="s">
        <v>50</v>
      </c>
      <c r="G213" t="s">
        <v>21</v>
      </c>
      <c r="H213" t="s">
        <v>86</v>
      </c>
      <c r="I213">
        <v>2</v>
      </c>
      <c r="J213">
        <v>3500</v>
      </c>
      <c r="K213">
        <v>0</v>
      </c>
      <c r="L213">
        <v>7000</v>
      </c>
      <c r="M213">
        <v>4800</v>
      </c>
      <c r="N213">
        <v>2200</v>
      </c>
      <c r="O213" t="s">
        <v>97</v>
      </c>
      <c r="P213" t="s">
        <v>42</v>
      </c>
      <c r="Q213" t="str">
        <f>TEXT(Table1[[#This Row],[Order_Date]],"mmm")</f>
        <v>Mar</v>
      </c>
      <c r="R213" t="b">
        <f t="shared" si="3"/>
        <v>1</v>
      </c>
      <c r="T213" s="6">
        <f>Table1[[#This Row],[Profit]]/Table1[[#This Row],[Sales]]</f>
        <v>0.31428571428571428</v>
      </c>
    </row>
    <row r="214" spans="1:20" x14ac:dyDescent="0.3">
      <c r="A214" t="s">
        <v>309</v>
      </c>
      <c r="B214" s="17">
        <v>45897</v>
      </c>
      <c r="C214" t="s">
        <v>31</v>
      </c>
      <c r="D214" t="s">
        <v>32</v>
      </c>
      <c r="E214" t="s">
        <v>55</v>
      </c>
      <c r="F214" t="s">
        <v>20</v>
      </c>
      <c r="G214" t="s">
        <v>28</v>
      </c>
      <c r="H214" t="s">
        <v>29</v>
      </c>
      <c r="I214">
        <v>5</v>
      </c>
      <c r="J214">
        <v>2500</v>
      </c>
      <c r="K214">
        <v>0.05</v>
      </c>
      <c r="L214">
        <v>11875</v>
      </c>
      <c r="M214">
        <v>8500</v>
      </c>
      <c r="N214">
        <v>3375</v>
      </c>
      <c r="O214" t="s">
        <v>51</v>
      </c>
      <c r="P214" t="s">
        <v>42</v>
      </c>
      <c r="Q214" t="str">
        <f>TEXT(Table1[[#This Row],[Order_Date]],"mmm")</f>
        <v>Aug</v>
      </c>
      <c r="R214" t="b">
        <f t="shared" si="3"/>
        <v>1</v>
      </c>
      <c r="T214" s="6">
        <f>Table1[[#This Row],[Profit]]/Table1[[#This Row],[Sales]]</f>
        <v>0.28421052631578947</v>
      </c>
    </row>
    <row r="215" spans="1:20" x14ac:dyDescent="0.3">
      <c r="A215" t="s">
        <v>310</v>
      </c>
      <c r="B215" s="17">
        <v>45927</v>
      </c>
      <c r="C215" t="s">
        <v>26</v>
      </c>
      <c r="D215" t="s">
        <v>27</v>
      </c>
      <c r="E215" t="s">
        <v>49</v>
      </c>
      <c r="F215" t="s">
        <v>50</v>
      </c>
      <c r="G215" t="s">
        <v>28</v>
      </c>
      <c r="H215" t="s">
        <v>29</v>
      </c>
      <c r="I215">
        <v>4</v>
      </c>
      <c r="J215">
        <v>3500</v>
      </c>
      <c r="K215">
        <v>0.05</v>
      </c>
      <c r="L215">
        <v>13300</v>
      </c>
      <c r="M215">
        <v>9600</v>
      </c>
      <c r="N215">
        <v>3700</v>
      </c>
      <c r="O215" t="s">
        <v>23</v>
      </c>
      <c r="P215" t="s">
        <v>42</v>
      </c>
      <c r="Q215" t="str">
        <f>TEXT(Table1[[#This Row],[Order_Date]],"mmm")</f>
        <v>Sep</v>
      </c>
      <c r="R215" t="b">
        <f t="shared" si="3"/>
        <v>1</v>
      </c>
      <c r="T215" s="6">
        <f>Table1[[#This Row],[Profit]]/Table1[[#This Row],[Sales]]</f>
        <v>0.2781954887218045</v>
      </c>
    </row>
    <row r="216" spans="1:20" x14ac:dyDescent="0.3">
      <c r="A216" t="s">
        <v>311</v>
      </c>
      <c r="B216" s="17">
        <v>45896</v>
      </c>
      <c r="C216" t="s">
        <v>83</v>
      </c>
      <c r="D216" t="s">
        <v>84</v>
      </c>
      <c r="E216" t="s">
        <v>38</v>
      </c>
      <c r="F216" t="s">
        <v>34</v>
      </c>
      <c r="G216" t="s">
        <v>21</v>
      </c>
      <c r="H216" t="s">
        <v>22</v>
      </c>
      <c r="I216">
        <v>2</v>
      </c>
      <c r="J216">
        <v>12000</v>
      </c>
      <c r="K216">
        <v>0.1</v>
      </c>
      <c r="L216">
        <v>21600</v>
      </c>
      <c r="M216">
        <v>17000</v>
      </c>
      <c r="N216">
        <v>4600</v>
      </c>
      <c r="O216" t="s">
        <v>23</v>
      </c>
      <c r="P216" t="s">
        <v>24</v>
      </c>
      <c r="Q216" t="str">
        <f>TEXT(Table1[[#This Row],[Order_Date]],"mmm")</f>
        <v>Aug</v>
      </c>
      <c r="R216" t="b">
        <f t="shared" si="3"/>
        <v>1</v>
      </c>
      <c r="T216" s="6">
        <f>Table1[[#This Row],[Profit]]/Table1[[#This Row],[Sales]]</f>
        <v>0.21296296296296297</v>
      </c>
    </row>
    <row r="217" spans="1:20" x14ac:dyDescent="0.3">
      <c r="A217" t="s">
        <v>312</v>
      </c>
      <c r="B217" s="17">
        <v>45923</v>
      </c>
      <c r="C217" t="s">
        <v>135</v>
      </c>
      <c r="D217" t="s">
        <v>136</v>
      </c>
      <c r="E217" t="s">
        <v>44</v>
      </c>
      <c r="F217" t="s">
        <v>34</v>
      </c>
      <c r="G217" t="s">
        <v>21</v>
      </c>
      <c r="H217" t="s">
        <v>86</v>
      </c>
      <c r="I217">
        <v>2</v>
      </c>
      <c r="J217">
        <v>8000</v>
      </c>
      <c r="K217">
        <v>0</v>
      </c>
      <c r="L217">
        <v>16000</v>
      </c>
      <c r="M217">
        <v>11200</v>
      </c>
      <c r="N217">
        <v>4800</v>
      </c>
      <c r="O217" t="s">
        <v>97</v>
      </c>
      <c r="P217" t="s">
        <v>42</v>
      </c>
      <c r="Q217" t="str">
        <f>TEXT(Table1[[#This Row],[Order_Date]],"mmm")</f>
        <v>Sep</v>
      </c>
      <c r="R217" t="b">
        <f t="shared" si="3"/>
        <v>1</v>
      </c>
      <c r="T217" s="6">
        <f>Table1[[#This Row],[Profit]]/Table1[[#This Row],[Sales]]</f>
        <v>0.3</v>
      </c>
    </row>
    <row r="218" spans="1:20" x14ac:dyDescent="0.3">
      <c r="A218" t="s">
        <v>313</v>
      </c>
      <c r="B218" s="17">
        <v>45698</v>
      </c>
      <c r="C218" t="s">
        <v>132</v>
      </c>
      <c r="D218" t="s">
        <v>133</v>
      </c>
      <c r="E218" t="s">
        <v>65</v>
      </c>
      <c r="F218" t="s">
        <v>20</v>
      </c>
      <c r="G218" t="s">
        <v>40</v>
      </c>
      <c r="H218" t="s">
        <v>41</v>
      </c>
      <c r="I218">
        <v>5</v>
      </c>
      <c r="J218">
        <v>5000</v>
      </c>
      <c r="K218">
        <v>0.05</v>
      </c>
      <c r="L218">
        <v>23750</v>
      </c>
      <c r="M218">
        <v>17500</v>
      </c>
      <c r="N218">
        <v>6250</v>
      </c>
      <c r="O218" t="s">
        <v>23</v>
      </c>
      <c r="P218" t="s">
        <v>24</v>
      </c>
      <c r="Q218" t="str">
        <f>TEXT(Table1[[#This Row],[Order_Date]],"mmm")</f>
        <v>Feb</v>
      </c>
      <c r="R218" t="b">
        <f t="shared" si="3"/>
        <v>1</v>
      </c>
      <c r="T218" s="6">
        <f>Table1[[#This Row],[Profit]]/Table1[[#This Row],[Sales]]</f>
        <v>0.26315789473684209</v>
      </c>
    </row>
    <row r="219" spans="1:20" x14ac:dyDescent="0.3">
      <c r="A219" t="s">
        <v>314</v>
      </c>
      <c r="B219" s="17">
        <v>45961</v>
      </c>
      <c r="C219" t="s">
        <v>113</v>
      </c>
      <c r="D219" t="s">
        <v>114</v>
      </c>
      <c r="E219" t="s">
        <v>55</v>
      </c>
      <c r="F219" t="s">
        <v>20</v>
      </c>
      <c r="G219" t="s">
        <v>40</v>
      </c>
      <c r="H219" t="s">
        <v>45</v>
      </c>
      <c r="I219">
        <v>2</v>
      </c>
      <c r="J219">
        <v>2500</v>
      </c>
      <c r="K219">
        <v>0</v>
      </c>
      <c r="L219">
        <v>5000</v>
      </c>
      <c r="M219">
        <v>3400</v>
      </c>
      <c r="N219">
        <v>1600</v>
      </c>
      <c r="O219" t="s">
        <v>23</v>
      </c>
      <c r="P219" t="s">
        <v>24</v>
      </c>
      <c r="Q219" t="str">
        <f>TEXT(Table1[[#This Row],[Order_Date]],"mmm")</f>
        <v>Oct</v>
      </c>
      <c r="R219" t="b">
        <f t="shared" si="3"/>
        <v>1</v>
      </c>
      <c r="T219" s="6">
        <f>Table1[[#This Row],[Profit]]/Table1[[#This Row],[Sales]]</f>
        <v>0.32</v>
      </c>
    </row>
    <row r="220" spans="1:20" x14ac:dyDescent="0.3">
      <c r="A220" t="s">
        <v>315</v>
      </c>
      <c r="B220" s="17">
        <v>45681</v>
      </c>
      <c r="C220" t="s">
        <v>113</v>
      </c>
      <c r="D220" t="s">
        <v>114</v>
      </c>
      <c r="E220" t="s">
        <v>44</v>
      </c>
      <c r="F220" t="s">
        <v>34</v>
      </c>
      <c r="G220" t="s">
        <v>35</v>
      </c>
      <c r="H220" t="s">
        <v>36</v>
      </c>
      <c r="I220">
        <v>2</v>
      </c>
      <c r="J220">
        <v>8000</v>
      </c>
      <c r="K220">
        <v>0</v>
      </c>
      <c r="L220">
        <v>16000</v>
      </c>
      <c r="M220">
        <v>11200</v>
      </c>
      <c r="N220">
        <v>4800</v>
      </c>
      <c r="O220" t="s">
        <v>51</v>
      </c>
      <c r="P220" t="s">
        <v>42</v>
      </c>
      <c r="Q220" t="str">
        <f>TEXT(Table1[[#This Row],[Order_Date]],"mmm")</f>
        <v>Jan</v>
      </c>
      <c r="R220" t="b">
        <f t="shared" si="3"/>
        <v>1</v>
      </c>
      <c r="T220" s="6">
        <f>Table1[[#This Row],[Profit]]/Table1[[#This Row],[Sales]]</f>
        <v>0.3</v>
      </c>
    </row>
    <row r="221" spans="1:20" x14ac:dyDescent="0.3">
      <c r="A221" t="s">
        <v>316</v>
      </c>
      <c r="B221" s="17">
        <v>45986</v>
      </c>
      <c r="C221" t="s">
        <v>128</v>
      </c>
      <c r="D221" t="s">
        <v>129</v>
      </c>
      <c r="E221" t="s">
        <v>80</v>
      </c>
      <c r="F221" t="s">
        <v>81</v>
      </c>
      <c r="G221" t="s">
        <v>35</v>
      </c>
      <c r="H221" t="s">
        <v>57</v>
      </c>
      <c r="I221">
        <v>2</v>
      </c>
      <c r="J221">
        <v>1800</v>
      </c>
      <c r="K221">
        <v>0.1</v>
      </c>
      <c r="L221">
        <v>3240</v>
      </c>
      <c r="M221">
        <v>2200</v>
      </c>
      <c r="N221">
        <v>1040</v>
      </c>
      <c r="O221" t="s">
        <v>23</v>
      </c>
      <c r="P221" t="s">
        <v>24</v>
      </c>
      <c r="Q221" t="str">
        <f>TEXT(Table1[[#This Row],[Order_Date]],"mmm")</f>
        <v>Nov</v>
      </c>
      <c r="R221" t="b">
        <f t="shared" si="3"/>
        <v>1</v>
      </c>
      <c r="T221" s="6">
        <f>Table1[[#This Row],[Profit]]/Table1[[#This Row],[Sales]]</f>
        <v>0.32098765432098764</v>
      </c>
    </row>
    <row r="222" spans="1:20" x14ac:dyDescent="0.3">
      <c r="A222" t="s">
        <v>317</v>
      </c>
      <c r="B222" s="17">
        <v>45738</v>
      </c>
      <c r="C222" t="s">
        <v>107</v>
      </c>
      <c r="D222" t="s">
        <v>108</v>
      </c>
      <c r="E222" t="s">
        <v>33</v>
      </c>
      <c r="F222" t="s">
        <v>34</v>
      </c>
      <c r="G222" t="s">
        <v>35</v>
      </c>
      <c r="H222" t="s">
        <v>69</v>
      </c>
      <c r="I222">
        <v>4</v>
      </c>
      <c r="J222">
        <v>7000</v>
      </c>
      <c r="K222">
        <v>0.05</v>
      </c>
      <c r="L222">
        <v>26600</v>
      </c>
      <c r="M222">
        <v>19200</v>
      </c>
      <c r="N222">
        <v>7400</v>
      </c>
      <c r="O222" t="s">
        <v>58</v>
      </c>
      <c r="P222" t="s">
        <v>42</v>
      </c>
      <c r="Q222" t="str">
        <f>TEXT(Table1[[#This Row],[Order_Date]],"mmm")</f>
        <v>Mar</v>
      </c>
      <c r="R222" t="b">
        <f t="shared" si="3"/>
        <v>1</v>
      </c>
      <c r="T222" s="6">
        <f>Table1[[#This Row],[Profit]]/Table1[[#This Row],[Sales]]</f>
        <v>0.2781954887218045</v>
      </c>
    </row>
    <row r="223" spans="1:20" x14ac:dyDescent="0.3">
      <c r="A223" t="s">
        <v>318</v>
      </c>
      <c r="B223" s="17">
        <v>45821</v>
      </c>
      <c r="C223" t="s">
        <v>53</v>
      </c>
      <c r="D223" t="s">
        <v>54</v>
      </c>
      <c r="E223" t="s">
        <v>33</v>
      </c>
      <c r="F223" t="s">
        <v>34</v>
      </c>
      <c r="G223" t="s">
        <v>40</v>
      </c>
      <c r="H223" t="s">
        <v>45</v>
      </c>
      <c r="I223">
        <v>2</v>
      </c>
      <c r="J223">
        <v>7000</v>
      </c>
      <c r="K223">
        <v>0.15</v>
      </c>
      <c r="L223">
        <v>11900</v>
      </c>
      <c r="M223">
        <v>9600</v>
      </c>
      <c r="N223">
        <v>2300</v>
      </c>
      <c r="O223" t="s">
        <v>23</v>
      </c>
      <c r="P223" t="s">
        <v>42</v>
      </c>
      <c r="Q223" t="str">
        <f>TEXT(Table1[[#This Row],[Order_Date]],"mmm")</f>
        <v>Jun</v>
      </c>
      <c r="R223" t="b">
        <f t="shared" si="3"/>
        <v>1</v>
      </c>
      <c r="T223" s="6">
        <f>Table1[[#This Row],[Profit]]/Table1[[#This Row],[Sales]]</f>
        <v>0.19327731092436976</v>
      </c>
    </row>
    <row r="224" spans="1:20" x14ac:dyDescent="0.3">
      <c r="A224" t="s">
        <v>319</v>
      </c>
      <c r="B224" s="17">
        <v>45781</v>
      </c>
      <c r="C224" t="s">
        <v>107</v>
      </c>
      <c r="D224" t="s">
        <v>108</v>
      </c>
      <c r="E224" t="s">
        <v>88</v>
      </c>
      <c r="F224" t="s">
        <v>20</v>
      </c>
      <c r="G224" t="s">
        <v>35</v>
      </c>
      <c r="H224" t="s">
        <v>69</v>
      </c>
      <c r="I224">
        <v>3</v>
      </c>
      <c r="J224">
        <v>25000</v>
      </c>
      <c r="K224">
        <v>0</v>
      </c>
      <c r="L224">
        <v>75000</v>
      </c>
      <c r="M224">
        <v>61500</v>
      </c>
      <c r="N224">
        <v>13500</v>
      </c>
      <c r="O224" t="s">
        <v>23</v>
      </c>
      <c r="P224" t="s">
        <v>24</v>
      </c>
      <c r="Q224" t="str">
        <f>TEXT(Table1[[#This Row],[Order_Date]],"mmm")</f>
        <v>May</v>
      </c>
      <c r="R224" t="b">
        <f t="shared" si="3"/>
        <v>1</v>
      </c>
      <c r="T224" s="6">
        <f>Table1[[#This Row],[Profit]]/Table1[[#This Row],[Sales]]</f>
        <v>0.18</v>
      </c>
    </row>
    <row r="225" spans="1:20" x14ac:dyDescent="0.3">
      <c r="A225" t="s">
        <v>320</v>
      </c>
      <c r="B225" s="17">
        <v>45806</v>
      </c>
      <c r="C225" t="s">
        <v>122</v>
      </c>
      <c r="D225" t="s">
        <v>123</v>
      </c>
      <c r="E225" t="s">
        <v>60</v>
      </c>
      <c r="F225" t="s">
        <v>50</v>
      </c>
      <c r="G225" t="s">
        <v>35</v>
      </c>
      <c r="H225" t="s">
        <v>69</v>
      </c>
      <c r="I225">
        <v>5</v>
      </c>
      <c r="J225">
        <v>6000</v>
      </c>
      <c r="K225">
        <v>0</v>
      </c>
      <c r="L225">
        <v>30000</v>
      </c>
      <c r="M225">
        <v>21000</v>
      </c>
      <c r="N225">
        <v>9000</v>
      </c>
      <c r="O225" t="s">
        <v>97</v>
      </c>
      <c r="P225" t="s">
        <v>42</v>
      </c>
      <c r="Q225" t="str">
        <f>TEXT(Table1[[#This Row],[Order_Date]],"mmm")</f>
        <v>May</v>
      </c>
      <c r="R225" t="b">
        <f t="shared" si="3"/>
        <v>1</v>
      </c>
      <c r="T225" s="6">
        <f>Table1[[#This Row],[Profit]]/Table1[[#This Row],[Sales]]</f>
        <v>0.3</v>
      </c>
    </row>
    <row r="226" spans="1:20" x14ac:dyDescent="0.3">
      <c r="A226" t="s">
        <v>321</v>
      </c>
      <c r="B226" s="17">
        <v>45755</v>
      </c>
      <c r="C226" t="s">
        <v>71</v>
      </c>
      <c r="D226" t="s">
        <v>72</v>
      </c>
      <c r="E226" t="s">
        <v>80</v>
      </c>
      <c r="F226" t="s">
        <v>81</v>
      </c>
      <c r="G226" t="s">
        <v>35</v>
      </c>
      <c r="H226" t="s">
        <v>57</v>
      </c>
      <c r="I226">
        <v>5</v>
      </c>
      <c r="J226">
        <v>1800</v>
      </c>
      <c r="K226">
        <v>0.05</v>
      </c>
      <c r="L226">
        <v>8550</v>
      </c>
      <c r="M226">
        <v>5500</v>
      </c>
      <c r="N226">
        <v>3050</v>
      </c>
      <c r="O226" t="s">
        <v>51</v>
      </c>
      <c r="P226" t="s">
        <v>24</v>
      </c>
      <c r="Q226" t="str">
        <f>TEXT(Table1[[#This Row],[Order_Date]],"mmm")</f>
        <v>Apr</v>
      </c>
      <c r="R226" t="b">
        <f t="shared" si="3"/>
        <v>1</v>
      </c>
      <c r="T226" s="6">
        <f>Table1[[#This Row],[Profit]]/Table1[[#This Row],[Sales]]</f>
        <v>0.35672514619883039</v>
      </c>
    </row>
    <row r="227" spans="1:20" x14ac:dyDescent="0.3">
      <c r="A227" t="s">
        <v>322</v>
      </c>
      <c r="B227" s="17">
        <v>45704</v>
      </c>
      <c r="C227" t="s">
        <v>122</v>
      </c>
      <c r="D227" t="s">
        <v>123</v>
      </c>
      <c r="E227" t="s">
        <v>116</v>
      </c>
      <c r="F227" t="s">
        <v>78</v>
      </c>
      <c r="G227" t="s">
        <v>21</v>
      </c>
      <c r="H227" t="s">
        <v>22</v>
      </c>
      <c r="I227">
        <v>4</v>
      </c>
      <c r="J227">
        <v>3000</v>
      </c>
      <c r="K227">
        <v>0.15</v>
      </c>
      <c r="L227">
        <v>10200</v>
      </c>
      <c r="M227">
        <v>7600</v>
      </c>
      <c r="N227">
        <v>2600</v>
      </c>
      <c r="O227" t="s">
        <v>97</v>
      </c>
      <c r="P227" t="s">
        <v>24</v>
      </c>
      <c r="Q227" t="str">
        <f>TEXT(Table1[[#This Row],[Order_Date]],"mmm")</f>
        <v>Feb</v>
      </c>
      <c r="R227" t="b">
        <f t="shared" si="3"/>
        <v>1</v>
      </c>
      <c r="T227" s="6">
        <f>Table1[[#This Row],[Profit]]/Table1[[#This Row],[Sales]]</f>
        <v>0.25490196078431371</v>
      </c>
    </row>
    <row r="228" spans="1:20" x14ac:dyDescent="0.3">
      <c r="A228" t="s">
        <v>323</v>
      </c>
      <c r="B228" s="17">
        <v>45683</v>
      </c>
      <c r="C228" t="s">
        <v>128</v>
      </c>
      <c r="D228" t="s">
        <v>129</v>
      </c>
      <c r="E228" t="s">
        <v>80</v>
      </c>
      <c r="F228" t="s">
        <v>81</v>
      </c>
      <c r="G228" t="s">
        <v>35</v>
      </c>
      <c r="H228" t="s">
        <v>57</v>
      </c>
      <c r="I228">
        <v>5</v>
      </c>
      <c r="J228">
        <v>1800</v>
      </c>
      <c r="K228">
        <v>0.15</v>
      </c>
      <c r="L228">
        <v>7650</v>
      </c>
      <c r="M228">
        <v>5500</v>
      </c>
      <c r="N228">
        <v>2150</v>
      </c>
      <c r="O228" t="s">
        <v>23</v>
      </c>
      <c r="P228" t="s">
        <v>24</v>
      </c>
      <c r="Q228" t="str">
        <f>TEXT(Table1[[#This Row],[Order_Date]],"mmm")</f>
        <v>Jan</v>
      </c>
      <c r="R228" t="b">
        <f t="shared" si="3"/>
        <v>1</v>
      </c>
      <c r="T228" s="6">
        <f>Table1[[#This Row],[Profit]]/Table1[[#This Row],[Sales]]</f>
        <v>0.28104575163398693</v>
      </c>
    </row>
    <row r="229" spans="1:20" x14ac:dyDescent="0.3">
      <c r="A229" t="s">
        <v>324</v>
      </c>
      <c r="B229" s="17">
        <v>45878</v>
      </c>
      <c r="C229" t="s">
        <v>135</v>
      </c>
      <c r="D229" t="s">
        <v>136</v>
      </c>
      <c r="E229" t="s">
        <v>44</v>
      </c>
      <c r="F229" t="s">
        <v>34</v>
      </c>
      <c r="G229" t="s">
        <v>35</v>
      </c>
      <c r="H229" t="s">
        <v>57</v>
      </c>
      <c r="I229">
        <v>3</v>
      </c>
      <c r="J229">
        <v>8000</v>
      </c>
      <c r="K229">
        <v>0</v>
      </c>
      <c r="L229">
        <v>24000</v>
      </c>
      <c r="M229">
        <v>16800</v>
      </c>
      <c r="N229">
        <v>7200</v>
      </c>
      <c r="O229" t="s">
        <v>51</v>
      </c>
      <c r="P229" t="s">
        <v>24</v>
      </c>
      <c r="Q229" t="str">
        <f>TEXT(Table1[[#This Row],[Order_Date]],"mmm")</f>
        <v>Aug</v>
      </c>
      <c r="R229" t="b">
        <f t="shared" si="3"/>
        <v>1</v>
      </c>
      <c r="T229" s="6">
        <f>Table1[[#This Row],[Profit]]/Table1[[#This Row],[Sales]]</f>
        <v>0.3</v>
      </c>
    </row>
    <row r="230" spans="1:20" x14ac:dyDescent="0.3">
      <c r="A230" t="s">
        <v>325</v>
      </c>
      <c r="B230" s="17">
        <v>45949</v>
      </c>
      <c r="C230" t="s">
        <v>31</v>
      </c>
      <c r="D230" t="s">
        <v>32</v>
      </c>
      <c r="E230" t="s">
        <v>65</v>
      </c>
      <c r="F230" t="s">
        <v>20</v>
      </c>
      <c r="G230" t="s">
        <v>40</v>
      </c>
      <c r="H230" t="s">
        <v>41</v>
      </c>
      <c r="I230">
        <v>3</v>
      </c>
      <c r="J230">
        <v>5000</v>
      </c>
      <c r="K230">
        <v>0.1</v>
      </c>
      <c r="L230">
        <v>13500</v>
      </c>
      <c r="M230">
        <v>10500</v>
      </c>
      <c r="N230">
        <v>3000</v>
      </c>
      <c r="O230" t="s">
        <v>51</v>
      </c>
      <c r="P230" t="s">
        <v>42</v>
      </c>
      <c r="Q230" t="str">
        <f>TEXT(Table1[[#This Row],[Order_Date]],"mmm")</f>
        <v>Oct</v>
      </c>
      <c r="R230" t="b">
        <f t="shared" si="3"/>
        <v>1</v>
      </c>
      <c r="T230" s="6">
        <f>Table1[[#This Row],[Profit]]/Table1[[#This Row],[Sales]]</f>
        <v>0.22222222222222221</v>
      </c>
    </row>
    <row r="231" spans="1:20" x14ac:dyDescent="0.3">
      <c r="A231" t="s">
        <v>326</v>
      </c>
      <c r="B231" s="17">
        <v>45977</v>
      </c>
      <c r="C231" t="s">
        <v>93</v>
      </c>
      <c r="D231" t="s">
        <v>94</v>
      </c>
      <c r="E231" t="s">
        <v>88</v>
      </c>
      <c r="F231" t="s">
        <v>20</v>
      </c>
      <c r="G231" t="s">
        <v>28</v>
      </c>
      <c r="H231" t="s">
        <v>73</v>
      </c>
      <c r="I231">
        <v>2</v>
      </c>
      <c r="J231">
        <v>25000</v>
      </c>
      <c r="K231">
        <v>0.05</v>
      </c>
      <c r="L231">
        <v>47500</v>
      </c>
      <c r="M231">
        <v>41000</v>
      </c>
      <c r="N231">
        <v>6500</v>
      </c>
      <c r="O231" t="s">
        <v>97</v>
      </c>
      <c r="P231" t="s">
        <v>42</v>
      </c>
      <c r="Q231" t="str">
        <f>TEXT(Table1[[#This Row],[Order_Date]],"mmm")</f>
        <v>Nov</v>
      </c>
      <c r="R231" t="b">
        <f t="shared" si="3"/>
        <v>1</v>
      </c>
      <c r="T231" s="6">
        <f>Table1[[#This Row],[Profit]]/Table1[[#This Row],[Sales]]</f>
        <v>0.1368421052631579</v>
      </c>
    </row>
    <row r="232" spans="1:20" x14ac:dyDescent="0.3">
      <c r="A232" t="s">
        <v>327</v>
      </c>
      <c r="B232" s="17">
        <v>45731</v>
      </c>
      <c r="C232" t="s">
        <v>207</v>
      </c>
      <c r="D232" t="s">
        <v>208</v>
      </c>
      <c r="E232" t="s">
        <v>85</v>
      </c>
      <c r="F232" t="s">
        <v>78</v>
      </c>
      <c r="G232" t="s">
        <v>35</v>
      </c>
      <c r="H232" t="s">
        <v>36</v>
      </c>
      <c r="I232">
        <v>5</v>
      </c>
      <c r="J232">
        <v>900</v>
      </c>
      <c r="K232">
        <v>0</v>
      </c>
      <c r="L232">
        <v>4500</v>
      </c>
      <c r="M232">
        <v>2500</v>
      </c>
      <c r="N232">
        <v>2000</v>
      </c>
      <c r="O232" t="s">
        <v>23</v>
      </c>
      <c r="P232" t="s">
        <v>24</v>
      </c>
      <c r="Q232" t="str">
        <f>TEXT(Table1[[#This Row],[Order_Date]],"mmm")</f>
        <v>Mar</v>
      </c>
      <c r="R232" t="b">
        <f t="shared" si="3"/>
        <v>1</v>
      </c>
      <c r="T232" s="6">
        <f>Table1[[#This Row],[Profit]]/Table1[[#This Row],[Sales]]</f>
        <v>0.44444444444444442</v>
      </c>
    </row>
    <row r="233" spans="1:20" x14ac:dyDescent="0.3">
      <c r="A233" t="s">
        <v>328</v>
      </c>
      <c r="B233" s="17">
        <v>45728</v>
      </c>
      <c r="C233" t="s">
        <v>63</v>
      </c>
      <c r="D233" t="s">
        <v>64</v>
      </c>
      <c r="E233" t="s">
        <v>49</v>
      </c>
      <c r="F233" t="s">
        <v>50</v>
      </c>
      <c r="G233" t="s">
        <v>35</v>
      </c>
      <c r="H233" t="s">
        <v>69</v>
      </c>
      <c r="I233">
        <v>4</v>
      </c>
      <c r="J233">
        <v>3500</v>
      </c>
      <c r="K233">
        <v>0.15</v>
      </c>
      <c r="L233">
        <v>11900</v>
      </c>
      <c r="M233">
        <v>9600</v>
      </c>
      <c r="N233">
        <v>2300</v>
      </c>
      <c r="O233" t="s">
        <v>58</v>
      </c>
      <c r="P233" t="s">
        <v>42</v>
      </c>
      <c r="Q233" t="str">
        <f>TEXT(Table1[[#This Row],[Order_Date]],"mmm")</f>
        <v>Mar</v>
      </c>
      <c r="R233" t="b">
        <f t="shared" si="3"/>
        <v>1</v>
      </c>
      <c r="T233" s="6">
        <f>Table1[[#This Row],[Profit]]/Table1[[#This Row],[Sales]]</f>
        <v>0.19327731092436976</v>
      </c>
    </row>
    <row r="234" spans="1:20" x14ac:dyDescent="0.3">
      <c r="A234" t="s">
        <v>329</v>
      </c>
      <c r="B234" s="17">
        <v>45971</v>
      </c>
      <c r="C234" t="s">
        <v>63</v>
      </c>
      <c r="D234" t="s">
        <v>64</v>
      </c>
      <c r="E234" t="s">
        <v>55</v>
      </c>
      <c r="F234" t="s">
        <v>20</v>
      </c>
      <c r="G234" t="s">
        <v>40</v>
      </c>
      <c r="H234" t="s">
        <v>45</v>
      </c>
      <c r="I234">
        <v>4</v>
      </c>
      <c r="J234">
        <v>2500</v>
      </c>
      <c r="K234">
        <v>0.05</v>
      </c>
      <c r="L234">
        <v>9500</v>
      </c>
      <c r="M234">
        <v>6800</v>
      </c>
      <c r="N234">
        <v>2700</v>
      </c>
      <c r="O234" t="s">
        <v>51</v>
      </c>
      <c r="P234" t="s">
        <v>42</v>
      </c>
      <c r="Q234" t="str">
        <f>TEXT(Table1[[#This Row],[Order_Date]],"mmm")</f>
        <v>Nov</v>
      </c>
      <c r="R234" t="b">
        <f t="shared" si="3"/>
        <v>1</v>
      </c>
      <c r="T234" s="6">
        <f>Table1[[#This Row],[Profit]]/Table1[[#This Row],[Sales]]</f>
        <v>0.28421052631578947</v>
      </c>
    </row>
    <row r="235" spans="1:20" x14ac:dyDescent="0.3">
      <c r="A235" t="s">
        <v>330</v>
      </c>
      <c r="B235" s="17">
        <v>45901</v>
      </c>
      <c r="C235" t="s">
        <v>75</v>
      </c>
      <c r="D235" t="s">
        <v>76</v>
      </c>
      <c r="E235" t="s">
        <v>38</v>
      </c>
      <c r="F235" t="s">
        <v>34</v>
      </c>
      <c r="G235" t="s">
        <v>28</v>
      </c>
      <c r="H235" t="s">
        <v>73</v>
      </c>
      <c r="I235">
        <v>3</v>
      </c>
      <c r="J235">
        <v>12000</v>
      </c>
      <c r="K235">
        <v>0.15</v>
      </c>
      <c r="L235">
        <v>30600</v>
      </c>
      <c r="M235">
        <v>25500</v>
      </c>
      <c r="N235">
        <v>5100</v>
      </c>
      <c r="O235" t="s">
        <v>97</v>
      </c>
      <c r="P235" t="s">
        <v>24</v>
      </c>
      <c r="Q235" t="str">
        <f>TEXT(Table1[[#This Row],[Order_Date]],"mmm")</f>
        <v>Sep</v>
      </c>
      <c r="R235" t="b">
        <f t="shared" si="3"/>
        <v>1</v>
      </c>
      <c r="T235" s="6">
        <f>Table1[[#This Row],[Profit]]/Table1[[#This Row],[Sales]]</f>
        <v>0.16666666666666666</v>
      </c>
    </row>
    <row r="236" spans="1:20" x14ac:dyDescent="0.3">
      <c r="A236" t="s">
        <v>331</v>
      </c>
      <c r="B236" s="17">
        <v>45963</v>
      </c>
      <c r="C236" t="s">
        <v>90</v>
      </c>
      <c r="D236" t="s">
        <v>91</v>
      </c>
      <c r="E236" t="s">
        <v>44</v>
      </c>
      <c r="F236" t="s">
        <v>34</v>
      </c>
      <c r="G236" t="s">
        <v>21</v>
      </c>
      <c r="H236" t="s">
        <v>95</v>
      </c>
      <c r="I236">
        <v>5</v>
      </c>
      <c r="J236">
        <v>8000</v>
      </c>
      <c r="K236">
        <v>0</v>
      </c>
      <c r="L236">
        <v>40000</v>
      </c>
      <c r="M236">
        <v>28000</v>
      </c>
      <c r="N236">
        <v>12000</v>
      </c>
      <c r="O236" t="s">
        <v>51</v>
      </c>
      <c r="P236" t="s">
        <v>24</v>
      </c>
      <c r="Q236" t="str">
        <f>TEXT(Table1[[#This Row],[Order_Date]],"mmm")</f>
        <v>Nov</v>
      </c>
      <c r="R236" t="b">
        <f t="shared" si="3"/>
        <v>1</v>
      </c>
      <c r="T236" s="6">
        <f>Table1[[#This Row],[Profit]]/Table1[[#This Row],[Sales]]</f>
        <v>0.3</v>
      </c>
    </row>
    <row r="237" spans="1:20" x14ac:dyDescent="0.3">
      <c r="A237" t="s">
        <v>332</v>
      </c>
      <c r="B237" s="17">
        <v>45926</v>
      </c>
      <c r="C237" t="s">
        <v>93</v>
      </c>
      <c r="D237" t="s">
        <v>94</v>
      </c>
      <c r="E237" t="s">
        <v>49</v>
      </c>
      <c r="F237" t="s">
        <v>50</v>
      </c>
      <c r="G237" t="s">
        <v>21</v>
      </c>
      <c r="H237" t="s">
        <v>95</v>
      </c>
      <c r="I237">
        <v>4</v>
      </c>
      <c r="J237">
        <v>3500</v>
      </c>
      <c r="K237">
        <v>0</v>
      </c>
      <c r="L237">
        <v>14000</v>
      </c>
      <c r="M237">
        <v>9600</v>
      </c>
      <c r="N237">
        <v>4400</v>
      </c>
      <c r="O237" t="s">
        <v>23</v>
      </c>
      <c r="P237" t="s">
        <v>24</v>
      </c>
      <c r="Q237" t="str">
        <f>TEXT(Table1[[#This Row],[Order_Date]],"mmm")</f>
        <v>Sep</v>
      </c>
      <c r="R237" t="b">
        <f t="shared" si="3"/>
        <v>1</v>
      </c>
      <c r="T237" s="6">
        <f>Table1[[#This Row],[Profit]]/Table1[[#This Row],[Sales]]</f>
        <v>0.31428571428571428</v>
      </c>
    </row>
    <row r="238" spans="1:20" x14ac:dyDescent="0.3">
      <c r="A238" t="s">
        <v>333</v>
      </c>
      <c r="B238" s="17">
        <v>45755</v>
      </c>
      <c r="C238" t="s">
        <v>75</v>
      </c>
      <c r="D238" t="s">
        <v>76</v>
      </c>
      <c r="E238" t="s">
        <v>80</v>
      </c>
      <c r="F238" t="s">
        <v>81</v>
      </c>
      <c r="G238" t="s">
        <v>35</v>
      </c>
      <c r="H238" t="s">
        <v>69</v>
      </c>
      <c r="I238">
        <v>3</v>
      </c>
      <c r="J238">
        <v>1800</v>
      </c>
      <c r="K238">
        <v>0.1</v>
      </c>
      <c r="L238">
        <v>4860</v>
      </c>
      <c r="M238">
        <v>3300</v>
      </c>
      <c r="N238">
        <v>1560</v>
      </c>
      <c r="O238" t="s">
        <v>58</v>
      </c>
      <c r="P238" t="s">
        <v>42</v>
      </c>
      <c r="Q238" t="str">
        <f>TEXT(Table1[[#This Row],[Order_Date]],"mmm")</f>
        <v>Apr</v>
      </c>
      <c r="R238" t="b">
        <f t="shared" si="3"/>
        <v>1</v>
      </c>
      <c r="T238" s="6">
        <f>Table1[[#This Row],[Profit]]/Table1[[#This Row],[Sales]]</f>
        <v>0.32098765432098764</v>
      </c>
    </row>
    <row r="239" spans="1:20" x14ac:dyDescent="0.3">
      <c r="A239" t="s">
        <v>334</v>
      </c>
      <c r="B239" s="17">
        <v>45914</v>
      </c>
      <c r="C239" t="s">
        <v>93</v>
      </c>
      <c r="D239" t="s">
        <v>94</v>
      </c>
      <c r="E239" t="s">
        <v>80</v>
      </c>
      <c r="F239" t="s">
        <v>81</v>
      </c>
      <c r="G239" t="s">
        <v>21</v>
      </c>
      <c r="H239" t="s">
        <v>95</v>
      </c>
      <c r="I239">
        <v>1</v>
      </c>
      <c r="J239">
        <v>1800</v>
      </c>
      <c r="K239">
        <v>0</v>
      </c>
      <c r="L239">
        <v>1800</v>
      </c>
      <c r="M239">
        <v>1100</v>
      </c>
      <c r="N239">
        <v>700</v>
      </c>
      <c r="O239" t="s">
        <v>97</v>
      </c>
      <c r="P239" t="s">
        <v>42</v>
      </c>
      <c r="Q239" t="str">
        <f>TEXT(Table1[[#This Row],[Order_Date]],"mmm")</f>
        <v>Sep</v>
      </c>
      <c r="R239" t="b">
        <f t="shared" si="3"/>
        <v>1</v>
      </c>
      <c r="T239" s="6">
        <f>Table1[[#This Row],[Profit]]/Table1[[#This Row],[Sales]]</f>
        <v>0.3888888888888889</v>
      </c>
    </row>
    <row r="240" spans="1:20" x14ac:dyDescent="0.3">
      <c r="A240" t="s">
        <v>335</v>
      </c>
      <c r="B240" s="17">
        <v>45927</v>
      </c>
      <c r="C240" t="s">
        <v>122</v>
      </c>
      <c r="D240" t="s">
        <v>123</v>
      </c>
      <c r="E240" t="s">
        <v>38</v>
      </c>
      <c r="F240" t="s">
        <v>34</v>
      </c>
      <c r="G240" t="s">
        <v>35</v>
      </c>
      <c r="H240" t="s">
        <v>36</v>
      </c>
      <c r="I240">
        <v>2</v>
      </c>
      <c r="J240">
        <v>12000</v>
      </c>
      <c r="K240">
        <v>0.05</v>
      </c>
      <c r="L240">
        <v>22800</v>
      </c>
      <c r="M240">
        <v>17000</v>
      </c>
      <c r="N240">
        <v>5800</v>
      </c>
      <c r="O240" t="s">
        <v>97</v>
      </c>
      <c r="P240" t="s">
        <v>42</v>
      </c>
      <c r="Q240" t="str">
        <f>TEXT(Table1[[#This Row],[Order_Date]],"mmm")</f>
        <v>Sep</v>
      </c>
      <c r="R240" t="b">
        <f t="shared" si="3"/>
        <v>1</v>
      </c>
      <c r="T240" s="6">
        <f>Table1[[#This Row],[Profit]]/Table1[[#This Row],[Sales]]</f>
        <v>0.25438596491228072</v>
      </c>
    </row>
    <row r="241" spans="1:20" x14ac:dyDescent="0.3">
      <c r="A241" t="s">
        <v>336</v>
      </c>
      <c r="B241" s="17">
        <v>45970</v>
      </c>
      <c r="C241" t="s">
        <v>90</v>
      </c>
      <c r="D241" t="s">
        <v>91</v>
      </c>
      <c r="E241" t="s">
        <v>65</v>
      </c>
      <c r="F241" t="s">
        <v>20</v>
      </c>
      <c r="G241" t="s">
        <v>40</v>
      </c>
      <c r="H241" t="s">
        <v>45</v>
      </c>
      <c r="I241">
        <v>2</v>
      </c>
      <c r="J241">
        <v>5000</v>
      </c>
      <c r="K241">
        <v>0.05</v>
      </c>
      <c r="L241">
        <v>9500</v>
      </c>
      <c r="M241">
        <v>7000</v>
      </c>
      <c r="N241">
        <v>2500</v>
      </c>
      <c r="O241" t="s">
        <v>58</v>
      </c>
      <c r="P241" t="s">
        <v>42</v>
      </c>
      <c r="Q241" t="str">
        <f>TEXT(Table1[[#This Row],[Order_Date]],"mmm")</f>
        <v>Nov</v>
      </c>
      <c r="R241" t="b">
        <f t="shared" si="3"/>
        <v>1</v>
      </c>
      <c r="T241" s="6">
        <f>Table1[[#This Row],[Profit]]/Table1[[#This Row],[Sales]]</f>
        <v>0.26315789473684209</v>
      </c>
    </row>
    <row r="242" spans="1:20" x14ac:dyDescent="0.3">
      <c r="A242" t="s">
        <v>337</v>
      </c>
      <c r="B242" s="17">
        <v>45805</v>
      </c>
      <c r="C242" t="s">
        <v>207</v>
      </c>
      <c r="D242" t="s">
        <v>208</v>
      </c>
      <c r="E242" t="s">
        <v>67</v>
      </c>
      <c r="F242" t="s">
        <v>50</v>
      </c>
      <c r="G242" t="s">
        <v>40</v>
      </c>
      <c r="H242" t="s">
        <v>61</v>
      </c>
      <c r="I242">
        <v>4</v>
      </c>
      <c r="J242">
        <v>4500</v>
      </c>
      <c r="K242">
        <v>0.05</v>
      </c>
      <c r="L242">
        <v>17100</v>
      </c>
      <c r="M242">
        <v>12400</v>
      </c>
      <c r="N242">
        <v>4700</v>
      </c>
      <c r="O242" t="s">
        <v>97</v>
      </c>
      <c r="P242" t="s">
        <v>42</v>
      </c>
      <c r="Q242" t="str">
        <f>TEXT(Table1[[#This Row],[Order_Date]],"mmm")</f>
        <v>May</v>
      </c>
      <c r="R242" t="b">
        <f t="shared" si="3"/>
        <v>1</v>
      </c>
      <c r="T242" s="6">
        <f>Table1[[#This Row],[Profit]]/Table1[[#This Row],[Sales]]</f>
        <v>0.27485380116959063</v>
      </c>
    </row>
    <row r="243" spans="1:20" x14ac:dyDescent="0.3">
      <c r="A243" t="s">
        <v>338</v>
      </c>
      <c r="B243" s="17">
        <v>45720</v>
      </c>
      <c r="C243" t="s">
        <v>113</v>
      </c>
      <c r="D243" t="s">
        <v>114</v>
      </c>
      <c r="E243" t="s">
        <v>77</v>
      </c>
      <c r="F243" t="s">
        <v>78</v>
      </c>
      <c r="G243" t="s">
        <v>35</v>
      </c>
      <c r="H243" t="s">
        <v>57</v>
      </c>
      <c r="I243">
        <v>5</v>
      </c>
      <c r="J243">
        <v>1800</v>
      </c>
      <c r="K243">
        <v>0.05</v>
      </c>
      <c r="L243">
        <v>8550</v>
      </c>
      <c r="M243">
        <v>5500</v>
      </c>
      <c r="N243">
        <v>3050</v>
      </c>
      <c r="O243" t="s">
        <v>58</v>
      </c>
      <c r="P243" t="s">
        <v>42</v>
      </c>
      <c r="Q243" t="str">
        <f>TEXT(Table1[[#This Row],[Order_Date]],"mmm")</f>
        <v>Mar</v>
      </c>
      <c r="R243" t="b">
        <f t="shared" si="3"/>
        <v>1</v>
      </c>
      <c r="T243" s="6">
        <f>Table1[[#This Row],[Profit]]/Table1[[#This Row],[Sales]]</f>
        <v>0.35672514619883039</v>
      </c>
    </row>
    <row r="244" spans="1:20" x14ac:dyDescent="0.3">
      <c r="A244" t="s">
        <v>339</v>
      </c>
      <c r="B244" s="17">
        <v>45679</v>
      </c>
      <c r="C244" t="s">
        <v>128</v>
      </c>
      <c r="D244" t="s">
        <v>129</v>
      </c>
      <c r="E244" t="s">
        <v>67</v>
      </c>
      <c r="F244" t="s">
        <v>50</v>
      </c>
      <c r="G244" t="s">
        <v>40</v>
      </c>
      <c r="H244" t="s">
        <v>61</v>
      </c>
      <c r="I244">
        <v>1</v>
      </c>
      <c r="J244">
        <v>4500</v>
      </c>
      <c r="K244">
        <v>0.05</v>
      </c>
      <c r="L244">
        <v>4275</v>
      </c>
      <c r="M244">
        <v>3100</v>
      </c>
      <c r="N244">
        <v>1175</v>
      </c>
      <c r="O244" t="s">
        <v>51</v>
      </c>
      <c r="P244" t="s">
        <v>24</v>
      </c>
      <c r="Q244" t="str">
        <f>TEXT(Table1[[#This Row],[Order_Date]],"mmm")</f>
        <v>Jan</v>
      </c>
      <c r="R244" t="b">
        <f t="shared" si="3"/>
        <v>1</v>
      </c>
      <c r="T244" s="6">
        <f>Table1[[#This Row],[Profit]]/Table1[[#This Row],[Sales]]</f>
        <v>0.27485380116959063</v>
      </c>
    </row>
    <row r="245" spans="1:20" x14ac:dyDescent="0.3">
      <c r="A245" t="s">
        <v>340</v>
      </c>
      <c r="B245" s="17">
        <v>45761</v>
      </c>
      <c r="C245" t="s">
        <v>31</v>
      </c>
      <c r="D245" t="s">
        <v>32</v>
      </c>
      <c r="E245" t="s">
        <v>44</v>
      </c>
      <c r="F245" t="s">
        <v>34</v>
      </c>
      <c r="G245" t="s">
        <v>40</v>
      </c>
      <c r="H245" t="s">
        <v>41</v>
      </c>
      <c r="I245">
        <v>5</v>
      </c>
      <c r="J245">
        <v>8000</v>
      </c>
      <c r="K245">
        <v>0</v>
      </c>
      <c r="L245">
        <v>40000</v>
      </c>
      <c r="M245">
        <v>28000</v>
      </c>
      <c r="N245">
        <v>12000</v>
      </c>
      <c r="O245" t="s">
        <v>58</v>
      </c>
      <c r="P245" t="s">
        <v>24</v>
      </c>
      <c r="Q245" t="str">
        <f>TEXT(Table1[[#This Row],[Order_Date]],"mmm")</f>
        <v>Apr</v>
      </c>
      <c r="R245" t="b">
        <f t="shared" si="3"/>
        <v>1</v>
      </c>
      <c r="T245" s="6">
        <f>Table1[[#This Row],[Profit]]/Table1[[#This Row],[Sales]]</f>
        <v>0.3</v>
      </c>
    </row>
    <row r="246" spans="1:20" x14ac:dyDescent="0.3">
      <c r="A246" t="s">
        <v>341</v>
      </c>
      <c r="B246" s="17">
        <v>45683</v>
      </c>
      <c r="C246" t="s">
        <v>83</v>
      </c>
      <c r="D246" t="s">
        <v>84</v>
      </c>
      <c r="E246" t="s">
        <v>65</v>
      </c>
      <c r="F246" t="s">
        <v>20</v>
      </c>
      <c r="G246" t="s">
        <v>28</v>
      </c>
      <c r="H246" t="s">
        <v>29</v>
      </c>
      <c r="I246">
        <v>2</v>
      </c>
      <c r="J246">
        <v>5000</v>
      </c>
      <c r="K246">
        <v>0.1</v>
      </c>
      <c r="L246">
        <v>9000</v>
      </c>
      <c r="M246">
        <v>7000</v>
      </c>
      <c r="N246">
        <v>2000</v>
      </c>
      <c r="O246" t="s">
        <v>97</v>
      </c>
      <c r="P246" t="s">
        <v>42</v>
      </c>
      <c r="Q246" t="str">
        <f>TEXT(Table1[[#This Row],[Order_Date]],"mmm")</f>
        <v>Jan</v>
      </c>
      <c r="R246" t="b">
        <f t="shared" si="3"/>
        <v>1</v>
      </c>
      <c r="T246" s="6">
        <f>Table1[[#This Row],[Profit]]/Table1[[#This Row],[Sales]]</f>
        <v>0.22222222222222221</v>
      </c>
    </row>
    <row r="247" spans="1:20" x14ac:dyDescent="0.3">
      <c r="A247" t="s">
        <v>342</v>
      </c>
      <c r="B247" s="17">
        <v>45709</v>
      </c>
      <c r="C247" t="s">
        <v>135</v>
      </c>
      <c r="D247" t="s">
        <v>136</v>
      </c>
      <c r="E247" t="s">
        <v>19</v>
      </c>
      <c r="F247" t="s">
        <v>20</v>
      </c>
      <c r="G247" t="s">
        <v>21</v>
      </c>
      <c r="H247" t="s">
        <v>86</v>
      </c>
      <c r="I247">
        <v>5</v>
      </c>
      <c r="J247">
        <v>55000</v>
      </c>
      <c r="K247">
        <v>0.1</v>
      </c>
      <c r="L247">
        <v>247500</v>
      </c>
      <c r="M247">
        <v>225000</v>
      </c>
      <c r="N247">
        <v>22500</v>
      </c>
      <c r="O247" t="s">
        <v>51</v>
      </c>
      <c r="P247" t="s">
        <v>24</v>
      </c>
      <c r="Q247" t="str">
        <f>TEXT(Table1[[#This Row],[Order_Date]],"mmm")</f>
        <v>Feb</v>
      </c>
      <c r="R247" t="b">
        <f t="shared" si="3"/>
        <v>1</v>
      </c>
      <c r="T247" s="6">
        <f>Table1[[#This Row],[Profit]]/Table1[[#This Row],[Sales]]</f>
        <v>9.0909090909090912E-2</v>
      </c>
    </row>
    <row r="248" spans="1:20" x14ac:dyDescent="0.3">
      <c r="A248" t="s">
        <v>343</v>
      </c>
      <c r="B248" s="17">
        <v>45805</v>
      </c>
      <c r="C248" t="s">
        <v>63</v>
      </c>
      <c r="D248" t="s">
        <v>64</v>
      </c>
      <c r="E248" t="s">
        <v>44</v>
      </c>
      <c r="F248" t="s">
        <v>34</v>
      </c>
      <c r="G248" t="s">
        <v>28</v>
      </c>
      <c r="H248" t="s">
        <v>102</v>
      </c>
      <c r="I248">
        <v>1</v>
      </c>
      <c r="J248">
        <v>8000</v>
      </c>
      <c r="K248">
        <v>0.15</v>
      </c>
      <c r="L248">
        <v>6800</v>
      </c>
      <c r="M248">
        <v>5600</v>
      </c>
      <c r="N248">
        <v>1200</v>
      </c>
      <c r="O248" t="s">
        <v>58</v>
      </c>
      <c r="P248" t="s">
        <v>24</v>
      </c>
      <c r="Q248" t="str">
        <f>TEXT(Table1[[#This Row],[Order_Date]],"mmm")</f>
        <v>May</v>
      </c>
      <c r="R248" t="b">
        <f t="shared" si="3"/>
        <v>1</v>
      </c>
      <c r="T248" s="6">
        <f>Table1[[#This Row],[Profit]]/Table1[[#This Row],[Sales]]</f>
        <v>0.17647058823529413</v>
      </c>
    </row>
    <row r="249" spans="1:20" x14ac:dyDescent="0.3">
      <c r="A249" t="s">
        <v>344</v>
      </c>
      <c r="B249" s="17">
        <v>45747</v>
      </c>
      <c r="C249" t="s">
        <v>26</v>
      </c>
      <c r="D249" t="s">
        <v>27</v>
      </c>
      <c r="E249" t="s">
        <v>60</v>
      </c>
      <c r="F249" t="s">
        <v>50</v>
      </c>
      <c r="G249" t="s">
        <v>28</v>
      </c>
      <c r="H249" t="s">
        <v>73</v>
      </c>
      <c r="I249">
        <v>2</v>
      </c>
      <c r="J249">
        <v>6000</v>
      </c>
      <c r="K249">
        <v>0.1</v>
      </c>
      <c r="L249">
        <v>10800</v>
      </c>
      <c r="M249">
        <v>8400</v>
      </c>
      <c r="N249">
        <v>2400</v>
      </c>
      <c r="O249" t="s">
        <v>58</v>
      </c>
      <c r="P249" t="s">
        <v>42</v>
      </c>
      <c r="Q249" t="str">
        <f>TEXT(Table1[[#This Row],[Order_Date]],"mmm")</f>
        <v>Mar</v>
      </c>
      <c r="R249" t="b">
        <f t="shared" si="3"/>
        <v>1</v>
      </c>
      <c r="T249" s="6">
        <f>Table1[[#This Row],[Profit]]/Table1[[#This Row],[Sales]]</f>
        <v>0.22222222222222221</v>
      </c>
    </row>
    <row r="250" spans="1:20" x14ac:dyDescent="0.3">
      <c r="A250" t="s">
        <v>345</v>
      </c>
      <c r="B250" s="17">
        <v>45677</v>
      </c>
      <c r="C250" t="s">
        <v>75</v>
      </c>
      <c r="D250" t="s">
        <v>76</v>
      </c>
      <c r="E250" t="s">
        <v>44</v>
      </c>
      <c r="F250" t="s">
        <v>34</v>
      </c>
      <c r="G250" t="s">
        <v>28</v>
      </c>
      <c r="H250" t="s">
        <v>73</v>
      </c>
      <c r="I250">
        <v>5</v>
      </c>
      <c r="J250">
        <v>8000</v>
      </c>
      <c r="K250">
        <v>0.05</v>
      </c>
      <c r="L250">
        <v>38000</v>
      </c>
      <c r="M250">
        <v>28000</v>
      </c>
      <c r="N250">
        <v>10000</v>
      </c>
      <c r="O250" t="s">
        <v>51</v>
      </c>
      <c r="P250" t="s">
        <v>42</v>
      </c>
      <c r="Q250" t="str">
        <f>TEXT(Table1[[#This Row],[Order_Date]],"mmm")</f>
        <v>Jan</v>
      </c>
      <c r="R250" t="b">
        <f t="shared" si="3"/>
        <v>1</v>
      </c>
      <c r="T250" s="6">
        <f>Table1[[#This Row],[Profit]]/Table1[[#This Row],[Sales]]</f>
        <v>0.26315789473684209</v>
      </c>
    </row>
    <row r="251" spans="1:20" x14ac:dyDescent="0.3">
      <c r="A251" t="s">
        <v>346</v>
      </c>
      <c r="B251" s="17">
        <v>45726</v>
      </c>
      <c r="C251" t="s">
        <v>83</v>
      </c>
      <c r="D251" t="s">
        <v>84</v>
      </c>
      <c r="E251" t="s">
        <v>80</v>
      </c>
      <c r="F251" t="s">
        <v>81</v>
      </c>
      <c r="G251" t="s">
        <v>21</v>
      </c>
      <c r="H251" t="s">
        <v>22</v>
      </c>
      <c r="I251">
        <v>3</v>
      </c>
      <c r="J251">
        <v>1800</v>
      </c>
      <c r="K251">
        <v>0.05</v>
      </c>
      <c r="L251">
        <v>5130</v>
      </c>
      <c r="M251">
        <v>3300</v>
      </c>
      <c r="N251">
        <v>1830</v>
      </c>
      <c r="O251" t="s">
        <v>58</v>
      </c>
      <c r="P251" t="s">
        <v>42</v>
      </c>
      <c r="Q251" t="str">
        <f>TEXT(Table1[[#This Row],[Order_Date]],"mmm")</f>
        <v>Mar</v>
      </c>
      <c r="R251" t="b">
        <f t="shared" si="3"/>
        <v>1</v>
      </c>
      <c r="T251" s="6">
        <f>Table1[[#This Row],[Profit]]/Table1[[#This Row],[Sales]]</f>
        <v>0.35672514619883039</v>
      </c>
    </row>
    <row r="252" spans="1:20" x14ac:dyDescent="0.3">
      <c r="A252" t="s">
        <v>347</v>
      </c>
      <c r="B252" s="17">
        <v>45989</v>
      </c>
      <c r="C252" t="s">
        <v>132</v>
      </c>
      <c r="D252" t="s">
        <v>133</v>
      </c>
      <c r="E252" t="s">
        <v>67</v>
      </c>
      <c r="F252" t="s">
        <v>50</v>
      </c>
      <c r="G252" t="s">
        <v>28</v>
      </c>
      <c r="H252" t="s">
        <v>102</v>
      </c>
      <c r="I252">
        <v>2</v>
      </c>
      <c r="J252">
        <v>4500</v>
      </c>
      <c r="K252">
        <v>0.05</v>
      </c>
      <c r="L252">
        <v>8550</v>
      </c>
      <c r="M252">
        <v>6200</v>
      </c>
      <c r="N252">
        <v>2350</v>
      </c>
      <c r="O252" t="s">
        <v>97</v>
      </c>
      <c r="P252" t="s">
        <v>24</v>
      </c>
      <c r="Q252" t="str">
        <f>TEXT(Table1[[#This Row],[Order_Date]],"mmm")</f>
        <v>Nov</v>
      </c>
      <c r="R252" t="b">
        <f t="shared" si="3"/>
        <v>1</v>
      </c>
      <c r="T252" s="6">
        <f>Table1[[#This Row],[Profit]]/Table1[[#This Row],[Sales]]</f>
        <v>0.27485380116959063</v>
      </c>
    </row>
    <row r="253" spans="1:20" x14ac:dyDescent="0.3">
      <c r="A253" t="s">
        <v>348</v>
      </c>
      <c r="B253" s="17">
        <v>45747</v>
      </c>
      <c r="C253" t="s">
        <v>93</v>
      </c>
      <c r="D253" t="s">
        <v>94</v>
      </c>
      <c r="E253" t="s">
        <v>60</v>
      </c>
      <c r="F253" t="s">
        <v>50</v>
      </c>
      <c r="G253" t="s">
        <v>35</v>
      </c>
      <c r="H253" t="s">
        <v>36</v>
      </c>
      <c r="I253">
        <v>4</v>
      </c>
      <c r="J253">
        <v>6000</v>
      </c>
      <c r="K253">
        <v>0.05</v>
      </c>
      <c r="L253">
        <v>22800</v>
      </c>
      <c r="M253">
        <v>16800</v>
      </c>
      <c r="N253">
        <v>6000</v>
      </c>
      <c r="O253" t="s">
        <v>23</v>
      </c>
      <c r="P253" t="s">
        <v>42</v>
      </c>
      <c r="Q253" t="str">
        <f>TEXT(Table1[[#This Row],[Order_Date]],"mmm")</f>
        <v>Mar</v>
      </c>
      <c r="R253" t="b">
        <f t="shared" si="3"/>
        <v>1</v>
      </c>
      <c r="T253" s="6">
        <f>Table1[[#This Row],[Profit]]/Table1[[#This Row],[Sales]]</f>
        <v>0.26315789473684209</v>
      </c>
    </row>
    <row r="254" spans="1:20" x14ac:dyDescent="0.3">
      <c r="A254" t="s">
        <v>349</v>
      </c>
      <c r="B254" s="17">
        <v>46000</v>
      </c>
      <c r="C254" t="s">
        <v>17</v>
      </c>
      <c r="D254" t="s">
        <v>18</v>
      </c>
      <c r="E254" t="s">
        <v>55</v>
      </c>
      <c r="F254" t="s">
        <v>20</v>
      </c>
      <c r="G254" t="s">
        <v>35</v>
      </c>
      <c r="H254" t="s">
        <v>57</v>
      </c>
      <c r="I254">
        <v>2</v>
      </c>
      <c r="J254">
        <v>2500</v>
      </c>
      <c r="K254">
        <v>0</v>
      </c>
      <c r="L254">
        <v>5000</v>
      </c>
      <c r="M254">
        <v>3400</v>
      </c>
      <c r="N254">
        <v>1600</v>
      </c>
      <c r="O254" t="s">
        <v>23</v>
      </c>
      <c r="P254" t="s">
        <v>42</v>
      </c>
      <c r="Q254" t="str">
        <f>TEXT(Table1[[#This Row],[Order_Date]],"mmm")</f>
        <v>Dec</v>
      </c>
      <c r="R254" t="b">
        <f t="shared" si="3"/>
        <v>1</v>
      </c>
      <c r="T254" s="6">
        <f>Table1[[#This Row],[Profit]]/Table1[[#This Row],[Sales]]</f>
        <v>0.32</v>
      </c>
    </row>
    <row r="255" spans="1:20" x14ac:dyDescent="0.3">
      <c r="A255" t="s">
        <v>350</v>
      </c>
      <c r="B255" s="17">
        <v>45854</v>
      </c>
      <c r="C255" t="s">
        <v>47</v>
      </c>
      <c r="D255" t="s">
        <v>48</v>
      </c>
      <c r="E255" t="s">
        <v>80</v>
      </c>
      <c r="F255" t="s">
        <v>81</v>
      </c>
      <c r="G255" t="s">
        <v>40</v>
      </c>
      <c r="H255" t="s">
        <v>61</v>
      </c>
      <c r="I255">
        <v>3</v>
      </c>
      <c r="J255">
        <v>1800</v>
      </c>
      <c r="K255">
        <v>0.15</v>
      </c>
      <c r="L255">
        <v>4590</v>
      </c>
      <c r="M255">
        <v>3300</v>
      </c>
      <c r="N255">
        <v>1290</v>
      </c>
      <c r="O255" t="s">
        <v>23</v>
      </c>
      <c r="P255" t="s">
        <v>42</v>
      </c>
      <c r="Q255" t="str">
        <f>TEXT(Table1[[#This Row],[Order_Date]],"mmm")</f>
        <v>Jul</v>
      </c>
      <c r="R255" t="b">
        <f t="shared" si="3"/>
        <v>1</v>
      </c>
      <c r="T255" s="6">
        <f>Table1[[#This Row],[Profit]]/Table1[[#This Row],[Sales]]</f>
        <v>0.28104575163398693</v>
      </c>
    </row>
    <row r="256" spans="1:20" x14ac:dyDescent="0.3">
      <c r="A256" t="s">
        <v>351</v>
      </c>
      <c r="B256" s="17">
        <v>45992</v>
      </c>
      <c r="C256" t="s">
        <v>53</v>
      </c>
      <c r="D256" t="s">
        <v>54</v>
      </c>
      <c r="E256" t="s">
        <v>67</v>
      </c>
      <c r="F256" t="s">
        <v>50</v>
      </c>
      <c r="G256" t="s">
        <v>28</v>
      </c>
      <c r="H256" t="s">
        <v>102</v>
      </c>
      <c r="I256">
        <v>2</v>
      </c>
      <c r="J256">
        <v>4500</v>
      </c>
      <c r="K256">
        <v>0</v>
      </c>
      <c r="L256">
        <v>9000</v>
      </c>
      <c r="M256">
        <v>6200</v>
      </c>
      <c r="N256">
        <v>2800</v>
      </c>
      <c r="O256" t="s">
        <v>51</v>
      </c>
      <c r="P256" t="s">
        <v>42</v>
      </c>
      <c r="Q256" t="str">
        <f>TEXT(Table1[[#This Row],[Order_Date]],"mmm")</f>
        <v>Dec</v>
      </c>
      <c r="R256" t="b">
        <f t="shared" si="3"/>
        <v>1</v>
      </c>
      <c r="T256" s="6">
        <f>Table1[[#This Row],[Profit]]/Table1[[#This Row],[Sales]]</f>
        <v>0.31111111111111112</v>
      </c>
    </row>
    <row r="257" spans="1:20" x14ac:dyDescent="0.3">
      <c r="A257" t="s">
        <v>352</v>
      </c>
      <c r="B257" s="17">
        <v>45739</v>
      </c>
      <c r="C257" t="s">
        <v>122</v>
      </c>
      <c r="D257" t="s">
        <v>123</v>
      </c>
      <c r="E257" t="s">
        <v>77</v>
      </c>
      <c r="F257" t="s">
        <v>78</v>
      </c>
      <c r="G257" t="s">
        <v>40</v>
      </c>
      <c r="H257" t="s">
        <v>45</v>
      </c>
      <c r="I257">
        <v>5</v>
      </c>
      <c r="J257">
        <v>1800</v>
      </c>
      <c r="K257">
        <v>0</v>
      </c>
      <c r="L257">
        <v>9000</v>
      </c>
      <c r="M257">
        <v>5500</v>
      </c>
      <c r="N257">
        <v>3500</v>
      </c>
      <c r="O257" t="s">
        <v>97</v>
      </c>
      <c r="P257" t="s">
        <v>42</v>
      </c>
      <c r="Q257" t="str">
        <f>TEXT(Table1[[#This Row],[Order_Date]],"mmm")</f>
        <v>Mar</v>
      </c>
      <c r="R257" t="b">
        <f t="shared" si="3"/>
        <v>1</v>
      </c>
      <c r="T257" s="6">
        <f>Table1[[#This Row],[Profit]]/Table1[[#This Row],[Sales]]</f>
        <v>0.3888888888888889</v>
      </c>
    </row>
    <row r="258" spans="1:20" x14ac:dyDescent="0.3">
      <c r="A258" t="s">
        <v>353</v>
      </c>
      <c r="B258" s="17">
        <v>45972</v>
      </c>
      <c r="C258" t="s">
        <v>47</v>
      </c>
      <c r="D258" t="s">
        <v>48</v>
      </c>
      <c r="E258" t="s">
        <v>65</v>
      </c>
      <c r="F258" t="s">
        <v>20</v>
      </c>
      <c r="G258" t="s">
        <v>35</v>
      </c>
      <c r="H258" t="s">
        <v>69</v>
      </c>
      <c r="I258">
        <v>2</v>
      </c>
      <c r="J258">
        <v>5000</v>
      </c>
      <c r="K258">
        <v>0.1</v>
      </c>
      <c r="L258">
        <v>9000</v>
      </c>
      <c r="M258">
        <v>7000</v>
      </c>
      <c r="N258">
        <v>2000</v>
      </c>
      <c r="O258" t="s">
        <v>97</v>
      </c>
      <c r="P258" t="s">
        <v>42</v>
      </c>
      <c r="Q258" t="str">
        <f>TEXT(Table1[[#This Row],[Order_Date]],"mmm")</f>
        <v>Nov</v>
      </c>
      <c r="R258" t="b">
        <f t="shared" ref="R258:R321" si="4">ISNUMBER(B258)</f>
        <v>1</v>
      </c>
      <c r="T258" s="6">
        <f>Table1[[#This Row],[Profit]]/Table1[[#This Row],[Sales]]</f>
        <v>0.22222222222222221</v>
      </c>
    </row>
    <row r="259" spans="1:20" x14ac:dyDescent="0.3">
      <c r="A259" t="s">
        <v>354</v>
      </c>
      <c r="B259" s="17">
        <v>46017</v>
      </c>
      <c r="C259" t="s">
        <v>31</v>
      </c>
      <c r="D259" t="s">
        <v>32</v>
      </c>
      <c r="E259" t="s">
        <v>80</v>
      </c>
      <c r="F259" t="s">
        <v>81</v>
      </c>
      <c r="G259" t="s">
        <v>21</v>
      </c>
      <c r="H259" t="s">
        <v>22</v>
      </c>
      <c r="I259">
        <v>5</v>
      </c>
      <c r="J259">
        <v>1800</v>
      </c>
      <c r="K259">
        <v>0.15</v>
      </c>
      <c r="L259">
        <v>7650</v>
      </c>
      <c r="M259">
        <v>5500</v>
      </c>
      <c r="N259">
        <v>2150</v>
      </c>
      <c r="O259" t="s">
        <v>23</v>
      </c>
      <c r="P259" t="s">
        <v>42</v>
      </c>
      <c r="Q259" t="str">
        <f>TEXT(Table1[[#This Row],[Order_Date]],"mmm")</f>
        <v>Dec</v>
      </c>
      <c r="R259" t="b">
        <f t="shared" si="4"/>
        <v>1</v>
      </c>
      <c r="T259" s="6">
        <f>Table1[[#This Row],[Profit]]/Table1[[#This Row],[Sales]]</f>
        <v>0.28104575163398693</v>
      </c>
    </row>
    <row r="260" spans="1:20" x14ac:dyDescent="0.3">
      <c r="A260" t="s">
        <v>355</v>
      </c>
      <c r="B260" s="17">
        <v>45928</v>
      </c>
      <c r="C260" t="s">
        <v>53</v>
      </c>
      <c r="D260" t="s">
        <v>54</v>
      </c>
      <c r="E260" t="s">
        <v>88</v>
      </c>
      <c r="F260" t="s">
        <v>20</v>
      </c>
      <c r="G260" t="s">
        <v>28</v>
      </c>
      <c r="H260" t="s">
        <v>29</v>
      </c>
      <c r="I260">
        <v>5</v>
      </c>
      <c r="J260">
        <v>25000</v>
      </c>
      <c r="K260">
        <v>0.15</v>
      </c>
      <c r="L260">
        <v>106250</v>
      </c>
      <c r="M260">
        <v>102500</v>
      </c>
      <c r="N260">
        <v>3750</v>
      </c>
      <c r="O260" t="s">
        <v>58</v>
      </c>
      <c r="P260" t="s">
        <v>24</v>
      </c>
      <c r="Q260" t="str">
        <f>TEXT(Table1[[#This Row],[Order_Date]],"mmm")</f>
        <v>Sep</v>
      </c>
      <c r="R260" t="b">
        <f t="shared" si="4"/>
        <v>1</v>
      </c>
      <c r="T260" s="6">
        <f>Table1[[#This Row],[Profit]]/Table1[[#This Row],[Sales]]</f>
        <v>3.5294117647058823E-2</v>
      </c>
    </row>
    <row r="261" spans="1:20" x14ac:dyDescent="0.3">
      <c r="A261" t="s">
        <v>356</v>
      </c>
      <c r="B261" s="17">
        <v>45742</v>
      </c>
      <c r="C261" t="s">
        <v>63</v>
      </c>
      <c r="D261" t="s">
        <v>64</v>
      </c>
      <c r="E261" t="s">
        <v>60</v>
      </c>
      <c r="F261" t="s">
        <v>50</v>
      </c>
      <c r="G261" t="s">
        <v>35</v>
      </c>
      <c r="H261" t="s">
        <v>69</v>
      </c>
      <c r="I261">
        <v>5</v>
      </c>
      <c r="J261">
        <v>6000</v>
      </c>
      <c r="K261">
        <v>0</v>
      </c>
      <c r="L261">
        <v>30000</v>
      </c>
      <c r="M261">
        <v>21000</v>
      </c>
      <c r="N261">
        <v>9000</v>
      </c>
      <c r="O261" t="s">
        <v>51</v>
      </c>
      <c r="P261" t="s">
        <v>24</v>
      </c>
      <c r="Q261" t="str">
        <f>TEXT(Table1[[#This Row],[Order_Date]],"mmm")</f>
        <v>Mar</v>
      </c>
      <c r="R261" t="b">
        <f t="shared" si="4"/>
        <v>1</v>
      </c>
      <c r="T261" s="6">
        <f>Table1[[#This Row],[Profit]]/Table1[[#This Row],[Sales]]</f>
        <v>0.3</v>
      </c>
    </row>
    <row r="262" spans="1:20" x14ac:dyDescent="0.3">
      <c r="A262" t="s">
        <v>357</v>
      </c>
      <c r="B262" s="17">
        <v>45919</v>
      </c>
      <c r="C262" t="s">
        <v>107</v>
      </c>
      <c r="D262" t="s">
        <v>108</v>
      </c>
      <c r="E262" t="s">
        <v>49</v>
      </c>
      <c r="F262" t="s">
        <v>50</v>
      </c>
      <c r="G262" t="s">
        <v>35</v>
      </c>
      <c r="H262" t="s">
        <v>69</v>
      </c>
      <c r="I262">
        <v>1</v>
      </c>
      <c r="J262">
        <v>3500</v>
      </c>
      <c r="K262">
        <v>0.15</v>
      </c>
      <c r="L262">
        <v>2975</v>
      </c>
      <c r="M262">
        <v>2400</v>
      </c>
      <c r="N262">
        <v>575</v>
      </c>
      <c r="O262" t="s">
        <v>51</v>
      </c>
      <c r="P262" t="s">
        <v>42</v>
      </c>
      <c r="Q262" t="str">
        <f>TEXT(Table1[[#This Row],[Order_Date]],"mmm")</f>
        <v>Sep</v>
      </c>
      <c r="R262" t="b">
        <f t="shared" si="4"/>
        <v>1</v>
      </c>
      <c r="T262" s="6">
        <f>Table1[[#This Row],[Profit]]/Table1[[#This Row],[Sales]]</f>
        <v>0.19327731092436976</v>
      </c>
    </row>
    <row r="263" spans="1:20" x14ac:dyDescent="0.3">
      <c r="A263" t="s">
        <v>358</v>
      </c>
      <c r="B263" s="17">
        <v>45946</v>
      </c>
      <c r="C263" t="s">
        <v>100</v>
      </c>
      <c r="D263" t="s">
        <v>101</v>
      </c>
      <c r="E263" t="s">
        <v>116</v>
      </c>
      <c r="F263" t="s">
        <v>78</v>
      </c>
      <c r="G263" t="s">
        <v>40</v>
      </c>
      <c r="H263" t="s">
        <v>45</v>
      </c>
      <c r="I263">
        <v>4</v>
      </c>
      <c r="J263">
        <v>3000</v>
      </c>
      <c r="K263">
        <v>0</v>
      </c>
      <c r="L263">
        <v>12000</v>
      </c>
      <c r="M263">
        <v>7600</v>
      </c>
      <c r="N263">
        <v>4400</v>
      </c>
      <c r="O263" t="s">
        <v>51</v>
      </c>
      <c r="P263" t="s">
        <v>42</v>
      </c>
      <c r="Q263" t="str">
        <f>TEXT(Table1[[#This Row],[Order_Date]],"mmm")</f>
        <v>Oct</v>
      </c>
      <c r="R263" t="b">
        <f t="shared" si="4"/>
        <v>1</v>
      </c>
      <c r="T263" s="6">
        <f>Table1[[#This Row],[Profit]]/Table1[[#This Row],[Sales]]</f>
        <v>0.36666666666666664</v>
      </c>
    </row>
    <row r="264" spans="1:20" x14ac:dyDescent="0.3">
      <c r="A264" t="s">
        <v>359</v>
      </c>
      <c r="B264" s="17">
        <v>45659</v>
      </c>
      <c r="C264" t="s">
        <v>207</v>
      </c>
      <c r="D264" t="s">
        <v>208</v>
      </c>
      <c r="E264" t="s">
        <v>85</v>
      </c>
      <c r="F264" t="s">
        <v>78</v>
      </c>
      <c r="G264" t="s">
        <v>28</v>
      </c>
      <c r="H264" t="s">
        <v>73</v>
      </c>
      <c r="I264">
        <v>1</v>
      </c>
      <c r="J264">
        <v>900</v>
      </c>
      <c r="K264">
        <v>0.05</v>
      </c>
      <c r="L264">
        <v>855</v>
      </c>
      <c r="M264">
        <v>500</v>
      </c>
      <c r="N264">
        <v>355</v>
      </c>
      <c r="O264" t="s">
        <v>23</v>
      </c>
      <c r="P264" t="s">
        <v>24</v>
      </c>
      <c r="Q264" t="str">
        <f>TEXT(Table1[[#This Row],[Order_Date]],"mmm")</f>
        <v>Jan</v>
      </c>
      <c r="R264" t="b">
        <f t="shared" si="4"/>
        <v>1</v>
      </c>
      <c r="T264" s="6">
        <f>Table1[[#This Row],[Profit]]/Table1[[#This Row],[Sales]]</f>
        <v>0.41520467836257308</v>
      </c>
    </row>
    <row r="265" spans="1:20" x14ac:dyDescent="0.3">
      <c r="A265" t="s">
        <v>360</v>
      </c>
      <c r="B265" s="17">
        <v>45693</v>
      </c>
      <c r="C265" t="s">
        <v>90</v>
      </c>
      <c r="D265" t="s">
        <v>91</v>
      </c>
      <c r="E265" t="s">
        <v>19</v>
      </c>
      <c r="F265" t="s">
        <v>20</v>
      </c>
      <c r="G265" t="s">
        <v>35</v>
      </c>
      <c r="H265" t="s">
        <v>69</v>
      </c>
      <c r="I265">
        <v>3</v>
      </c>
      <c r="J265">
        <v>55000</v>
      </c>
      <c r="K265">
        <v>0</v>
      </c>
      <c r="L265">
        <v>165000</v>
      </c>
      <c r="M265">
        <v>135000</v>
      </c>
      <c r="N265">
        <v>30000</v>
      </c>
      <c r="O265" t="s">
        <v>51</v>
      </c>
      <c r="P265" t="s">
        <v>42</v>
      </c>
      <c r="Q265" t="str">
        <f>TEXT(Table1[[#This Row],[Order_Date]],"mmm")</f>
        <v>Feb</v>
      </c>
      <c r="R265" t="b">
        <f t="shared" si="4"/>
        <v>1</v>
      </c>
      <c r="T265" s="6">
        <f>Table1[[#This Row],[Profit]]/Table1[[#This Row],[Sales]]</f>
        <v>0.18181818181818182</v>
      </c>
    </row>
    <row r="266" spans="1:20" x14ac:dyDescent="0.3">
      <c r="A266" t="s">
        <v>361</v>
      </c>
      <c r="B266" s="17">
        <v>45853</v>
      </c>
      <c r="C266" t="s">
        <v>107</v>
      </c>
      <c r="D266" t="s">
        <v>108</v>
      </c>
      <c r="E266" t="s">
        <v>60</v>
      </c>
      <c r="F266" t="s">
        <v>50</v>
      </c>
      <c r="G266" t="s">
        <v>35</v>
      </c>
      <c r="H266" t="s">
        <v>69</v>
      </c>
      <c r="I266">
        <v>4</v>
      </c>
      <c r="J266">
        <v>6000</v>
      </c>
      <c r="K266">
        <v>0.15</v>
      </c>
      <c r="L266">
        <v>20400</v>
      </c>
      <c r="M266">
        <v>16800</v>
      </c>
      <c r="N266">
        <v>3600</v>
      </c>
      <c r="O266" t="s">
        <v>58</v>
      </c>
      <c r="P266" t="s">
        <v>42</v>
      </c>
      <c r="Q266" t="str">
        <f>TEXT(Table1[[#This Row],[Order_Date]],"mmm")</f>
        <v>Jul</v>
      </c>
      <c r="R266" t="b">
        <f t="shared" si="4"/>
        <v>1</v>
      </c>
      <c r="T266" s="6">
        <f>Table1[[#This Row],[Profit]]/Table1[[#This Row],[Sales]]</f>
        <v>0.17647058823529413</v>
      </c>
    </row>
    <row r="267" spans="1:20" x14ac:dyDescent="0.3">
      <c r="A267" t="s">
        <v>362</v>
      </c>
      <c r="B267" s="17">
        <v>45718</v>
      </c>
      <c r="C267" t="s">
        <v>71</v>
      </c>
      <c r="D267" t="s">
        <v>72</v>
      </c>
      <c r="E267" t="s">
        <v>116</v>
      </c>
      <c r="F267" t="s">
        <v>78</v>
      </c>
      <c r="G267" t="s">
        <v>21</v>
      </c>
      <c r="H267" t="s">
        <v>95</v>
      </c>
      <c r="I267">
        <v>4</v>
      </c>
      <c r="J267">
        <v>3000</v>
      </c>
      <c r="K267">
        <v>0</v>
      </c>
      <c r="L267">
        <v>12000</v>
      </c>
      <c r="M267">
        <v>7600</v>
      </c>
      <c r="N267">
        <v>4400</v>
      </c>
      <c r="O267" t="s">
        <v>23</v>
      </c>
      <c r="P267" t="s">
        <v>24</v>
      </c>
      <c r="Q267" t="str">
        <f>TEXT(Table1[[#This Row],[Order_Date]],"mmm")</f>
        <v>Mar</v>
      </c>
      <c r="R267" t="b">
        <f t="shared" si="4"/>
        <v>1</v>
      </c>
      <c r="T267" s="6">
        <f>Table1[[#This Row],[Profit]]/Table1[[#This Row],[Sales]]</f>
        <v>0.36666666666666664</v>
      </c>
    </row>
    <row r="268" spans="1:20" x14ac:dyDescent="0.3">
      <c r="A268" t="s">
        <v>363</v>
      </c>
      <c r="B268" s="17">
        <v>45810</v>
      </c>
      <c r="C268" t="s">
        <v>107</v>
      </c>
      <c r="D268" t="s">
        <v>108</v>
      </c>
      <c r="E268" t="s">
        <v>77</v>
      </c>
      <c r="F268" t="s">
        <v>78</v>
      </c>
      <c r="G268" t="s">
        <v>35</v>
      </c>
      <c r="H268" t="s">
        <v>36</v>
      </c>
      <c r="I268">
        <v>5</v>
      </c>
      <c r="J268">
        <v>1800</v>
      </c>
      <c r="K268">
        <v>0.1</v>
      </c>
      <c r="L268">
        <v>8100</v>
      </c>
      <c r="M268">
        <v>5500</v>
      </c>
      <c r="N268">
        <v>2600</v>
      </c>
      <c r="O268" t="s">
        <v>58</v>
      </c>
      <c r="P268" t="s">
        <v>24</v>
      </c>
      <c r="Q268" t="str">
        <f>TEXT(Table1[[#This Row],[Order_Date]],"mmm")</f>
        <v>Jun</v>
      </c>
      <c r="R268" t="b">
        <f t="shared" si="4"/>
        <v>1</v>
      </c>
      <c r="T268" s="6">
        <f>Table1[[#This Row],[Profit]]/Table1[[#This Row],[Sales]]</f>
        <v>0.32098765432098764</v>
      </c>
    </row>
    <row r="269" spans="1:20" x14ac:dyDescent="0.3">
      <c r="A269" t="s">
        <v>364</v>
      </c>
      <c r="B269" s="17">
        <v>45893</v>
      </c>
      <c r="C269" t="s">
        <v>53</v>
      </c>
      <c r="D269" t="s">
        <v>54</v>
      </c>
      <c r="E269" t="s">
        <v>55</v>
      </c>
      <c r="F269" t="s">
        <v>20</v>
      </c>
      <c r="G269" t="s">
        <v>21</v>
      </c>
      <c r="H269" t="s">
        <v>95</v>
      </c>
      <c r="I269">
        <v>3</v>
      </c>
      <c r="J269">
        <v>2500</v>
      </c>
      <c r="K269">
        <v>0</v>
      </c>
      <c r="L269">
        <v>7500</v>
      </c>
      <c r="M269">
        <v>5100</v>
      </c>
      <c r="N269">
        <v>2400</v>
      </c>
      <c r="O269" t="s">
        <v>23</v>
      </c>
      <c r="P269" t="s">
        <v>42</v>
      </c>
      <c r="Q269" t="str">
        <f>TEXT(Table1[[#This Row],[Order_Date]],"mmm")</f>
        <v>Aug</v>
      </c>
      <c r="R269" t="b">
        <f t="shared" si="4"/>
        <v>1</v>
      </c>
      <c r="T269" s="6">
        <f>Table1[[#This Row],[Profit]]/Table1[[#This Row],[Sales]]</f>
        <v>0.32</v>
      </c>
    </row>
    <row r="270" spans="1:20" x14ac:dyDescent="0.3">
      <c r="A270" t="s">
        <v>365</v>
      </c>
      <c r="B270" s="17">
        <v>45972</v>
      </c>
      <c r="C270" t="s">
        <v>75</v>
      </c>
      <c r="D270" t="s">
        <v>76</v>
      </c>
      <c r="E270" t="s">
        <v>65</v>
      </c>
      <c r="F270" t="s">
        <v>20</v>
      </c>
      <c r="G270" t="s">
        <v>28</v>
      </c>
      <c r="H270" t="s">
        <v>29</v>
      </c>
      <c r="I270">
        <v>2</v>
      </c>
      <c r="J270">
        <v>5000</v>
      </c>
      <c r="K270">
        <v>0.15</v>
      </c>
      <c r="L270">
        <v>8500</v>
      </c>
      <c r="M270">
        <v>7000</v>
      </c>
      <c r="N270">
        <v>1500</v>
      </c>
      <c r="O270" t="s">
        <v>23</v>
      </c>
      <c r="P270" t="s">
        <v>42</v>
      </c>
      <c r="Q270" t="str">
        <f>TEXT(Table1[[#This Row],[Order_Date]],"mmm")</f>
        <v>Nov</v>
      </c>
      <c r="R270" t="b">
        <f t="shared" si="4"/>
        <v>1</v>
      </c>
      <c r="T270" s="6">
        <f>Table1[[#This Row],[Profit]]/Table1[[#This Row],[Sales]]</f>
        <v>0.17647058823529413</v>
      </c>
    </row>
    <row r="271" spans="1:20" x14ac:dyDescent="0.3">
      <c r="A271" t="s">
        <v>366</v>
      </c>
      <c r="B271" s="17">
        <v>45964</v>
      </c>
      <c r="C271" t="s">
        <v>100</v>
      </c>
      <c r="D271" t="s">
        <v>101</v>
      </c>
      <c r="E271" t="s">
        <v>65</v>
      </c>
      <c r="F271" t="s">
        <v>20</v>
      </c>
      <c r="G271" t="s">
        <v>35</v>
      </c>
      <c r="H271" t="s">
        <v>57</v>
      </c>
      <c r="I271">
        <v>1</v>
      </c>
      <c r="J271">
        <v>5000</v>
      </c>
      <c r="K271">
        <v>0</v>
      </c>
      <c r="L271">
        <v>5000</v>
      </c>
      <c r="M271">
        <v>3500</v>
      </c>
      <c r="N271">
        <v>1500</v>
      </c>
      <c r="O271" t="s">
        <v>58</v>
      </c>
      <c r="P271" t="s">
        <v>24</v>
      </c>
      <c r="Q271" t="str">
        <f>TEXT(Table1[[#This Row],[Order_Date]],"mmm")</f>
        <v>Nov</v>
      </c>
      <c r="R271" t="b">
        <f t="shared" si="4"/>
        <v>1</v>
      </c>
      <c r="T271" s="6">
        <f>Table1[[#This Row],[Profit]]/Table1[[#This Row],[Sales]]</f>
        <v>0.3</v>
      </c>
    </row>
    <row r="272" spans="1:20" x14ac:dyDescent="0.3">
      <c r="A272" t="s">
        <v>367</v>
      </c>
      <c r="B272" s="17">
        <v>45729</v>
      </c>
      <c r="C272" t="s">
        <v>83</v>
      </c>
      <c r="D272" t="s">
        <v>84</v>
      </c>
      <c r="E272" t="s">
        <v>44</v>
      </c>
      <c r="F272" t="s">
        <v>34</v>
      </c>
      <c r="G272" t="s">
        <v>40</v>
      </c>
      <c r="H272" t="s">
        <v>45</v>
      </c>
      <c r="I272">
        <v>2</v>
      </c>
      <c r="J272">
        <v>8000</v>
      </c>
      <c r="K272">
        <v>0.15</v>
      </c>
      <c r="L272">
        <v>13600</v>
      </c>
      <c r="M272">
        <v>11200</v>
      </c>
      <c r="N272">
        <v>2400</v>
      </c>
      <c r="O272" t="s">
        <v>97</v>
      </c>
      <c r="P272" t="s">
        <v>24</v>
      </c>
      <c r="Q272" t="str">
        <f>TEXT(Table1[[#This Row],[Order_Date]],"mmm")</f>
        <v>Mar</v>
      </c>
      <c r="R272" t="b">
        <f t="shared" si="4"/>
        <v>1</v>
      </c>
      <c r="T272" s="6">
        <f>Table1[[#This Row],[Profit]]/Table1[[#This Row],[Sales]]</f>
        <v>0.17647058823529413</v>
      </c>
    </row>
    <row r="273" spans="1:20" x14ac:dyDescent="0.3">
      <c r="A273" t="s">
        <v>368</v>
      </c>
      <c r="B273" s="17">
        <v>45812</v>
      </c>
      <c r="C273" t="s">
        <v>135</v>
      </c>
      <c r="D273" t="s">
        <v>136</v>
      </c>
      <c r="E273" t="s">
        <v>77</v>
      </c>
      <c r="F273" t="s">
        <v>78</v>
      </c>
      <c r="G273" t="s">
        <v>21</v>
      </c>
      <c r="H273" t="s">
        <v>86</v>
      </c>
      <c r="I273">
        <v>5</v>
      </c>
      <c r="J273">
        <v>1800</v>
      </c>
      <c r="K273">
        <v>0.05</v>
      </c>
      <c r="L273">
        <v>8550</v>
      </c>
      <c r="M273">
        <v>5500</v>
      </c>
      <c r="N273">
        <v>3050</v>
      </c>
      <c r="O273" t="s">
        <v>97</v>
      </c>
      <c r="P273" t="s">
        <v>24</v>
      </c>
      <c r="Q273" t="str">
        <f>TEXT(Table1[[#This Row],[Order_Date]],"mmm")</f>
        <v>Jun</v>
      </c>
      <c r="R273" t="b">
        <f t="shared" si="4"/>
        <v>1</v>
      </c>
      <c r="T273" s="6">
        <f>Table1[[#This Row],[Profit]]/Table1[[#This Row],[Sales]]</f>
        <v>0.35672514619883039</v>
      </c>
    </row>
    <row r="274" spans="1:20" x14ac:dyDescent="0.3">
      <c r="A274" t="s">
        <v>369</v>
      </c>
      <c r="B274" s="17">
        <v>45943</v>
      </c>
      <c r="C274" t="s">
        <v>113</v>
      </c>
      <c r="D274" t="s">
        <v>114</v>
      </c>
      <c r="E274" t="s">
        <v>67</v>
      </c>
      <c r="F274" t="s">
        <v>50</v>
      </c>
      <c r="G274" t="s">
        <v>35</v>
      </c>
      <c r="H274" t="s">
        <v>36</v>
      </c>
      <c r="I274">
        <v>2</v>
      </c>
      <c r="J274">
        <v>4500</v>
      </c>
      <c r="K274">
        <v>0.1</v>
      </c>
      <c r="L274">
        <v>8100</v>
      </c>
      <c r="M274">
        <v>6200</v>
      </c>
      <c r="N274">
        <v>1900</v>
      </c>
      <c r="O274" t="s">
        <v>23</v>
      </c>
      <c r="P274" t="s">
        <v>42</v>
      </c>
      <c r="Q274" t="str">
        <f>TEXT(Table1[[#This Row],[Order_Date]],"mmm")</f>
        <v>Oct</v>
      </c>
      <c r="R274" t="b">
        <f t="shared" si="4"/>
        <v>1</v>
      </c>
      <c r="T274" s="6">
        <f>Table1[[#This Row],[Profit]]/Table1[[#This Row],[Sales]]</f>
        <v>0.23456790123456789</v>
      </c>
    </row>
    <row r="275" spans="1:20" x14ac:dyDescent="0.3">
      <c r="A275" t="s">
        <v>370</v>
      </c>
      <c r="B275" s="17">
        <v>45987</v>
      </c>
      <c r="C275" t="s">
        <v>122</v>
      </c>
      <c r="D275" t="s">
        <v>123</v>
      </c>
      <c r="E275" t="s">
        <v>49</v>
      </c>
      <c r="F275" t="s">
        <v>50</v>
      </c>
      <c r="G275" t="s">
        <v>40</v>
      </c>
      <c r="H275" t="s">
        <v>45</v>
      </c>
      <c r="I275">
        <v>5</v>
      </c>
      <c r="J275">
        <v>3500</v>
      </c>
      <c r="K275">
        <v>0.1</v>
      </c>
      <c r="L275">
        <v>15750</v>
      </c>
      <c r="M275">
        <v>12000</v>
      </c>
      <c r="N275">
        <v>3750</v>
      </c>
      <c r="O275" t="s">
        <v>51</v>
      </c>
      <c r="P275" t="s">
        <v>24</v>
      </c>
      <c r="Q275" t="str">
        <f>TEXT(Table1[[#This Row],[Order_Date]],"mmm")</f>
        <v>Nov</v>
      </c>
      <c r="R275" t="b">
        <f t="shared" si="4"/>
        <v>1</v>
      </c>
      <c r="T275" s="6">
        <f>Table1[[#This Row],[Profit]]/Table1[[#This Row],[Sales]]</f>
        <v>0.23809523809523808</v>
      </c>
    </row>
    <row r="276" spans="1:20" x14ac:dyDescent="0.3">
      <c r="A276" t="s">
        <v>371</v>
      </c>
      <c r="B276" s="17">
        <v>45811</v>
      </c>
      <c r="C276" t="s">
        <v>122</v>
      </c>
      <c r="D276" t="s">
        <v>123</v>
      </c>
      <c r="E276" t="s">
        <v>55</v>
      </c>
      <c r="F276" t="s">
        <v>20</v>
      </c>
      <c r="G276" t="s">
        <v>35</v>
      </c>
      <c r="H276" t="s">
        <v>69</v>
      </c>
      <c r="I276">
        <v>5</v>
      </c>
      <c r="J276">
        <v>2500</v>
      </c>
      <c r="K276">
        <v>0</v>
      </c>
      <c r="L276">
        <v>12500</v>
      </c>
      <c r="M276">
        <v>8500</v>
      </c>
      <c r="N276">
        <v>4000</v>
      </c>
      <c r="O276" t="s">
        <v>97</v>
      </c>
      <c r="P276" t="s">
        <v>24</v>
      </c>
      <c r="Q276" t="str">
        <f>TEXT(Table1[[#This Row],[Order_Date]],"mmm")</f>
        <v>Jun</v>
      </c>
      <c r="R276" t="b">
        <f t="shared" si="4"/>
        <v>1</v>
      </c>
      <c r="T276" s="6">
        <f>Table1[[#This Row],[Profit]]/Table1[[#This Row],[Sales]]</f>
        <v>0.32</v>
      </c>
    </row>
    <row r="277" spans="1:20" x14ac:dyDescent="0.3">
      <c r="A277" t="s">
        <v>372</v>
      </c>
      <c r="B277" s="17">
        <v>45895</v>
      </c>
      <c r="C277" t="s">
        <v>100</v>
      </c>
      <c r="D277" t="s">
        <v>101</v>
      </c>
      <c r="E277" t="s">
        <v>116</v>
      </c>
      <c r="F277" t="s">
        <v>78</v>
      </c>
      <c r="G277" t="s">
        <v>35</v>
      </c>
      <c r="H277" t="s">
        <v>36</v>
      </c>
      <c r="I277">
        <v>4</v>
      </c>
      <c r="J277">
        <v>3000</v>
      </c>
      <c r="K277">
        <v>0.15</v>
      </c>
      <c r="L277">
        <v>10200</v>
      </c>
      <c r="M277">
        <v>7600</v>
      </c>
      <c r="N277">
        <v>2600</v>
      </c>
      <c r="O277" t="s">
        <v>58</v>
      </c>
      <c r="P277" t="s">
        <v>42</v>
      </c>
      <c r="Q277" t="str">
        <f>TEXT(Table1[[#This Row],[Order_Date]],"mmm")</f>
        <v>Aug</v>
      </c>
      <c r="R277" t="b">
        <f t="shared" si="4"/>
        <v>1</v>
      </c>
      <c r="T277" s="6">
        <f>Table1[[#This Row],[Profit]]/Table1[[#This Row],[Sales]]</f>
        <v>0.25490196078431371</v>
      </c>
    </row>
    <row r="278" spans="1:20" x14ac:dyDescent="0.3">
      <c r="A278" t="s">
        <v>373</v>
      </c>
      <c r="B278" s="17">
        <v>45782</v>
      </c>
      <c r="C278" t="s">
        <v>132</v>
      </c>
      <c r="D278" t="s">
        <v>133</v>
      </c>
      <c r="E278" t="s">
        <v>65</v>
      </c>
      <c r="F278" t="s">
        <v>20</v>
      </c>
      <c r="G278" t="s">
        <v>28</v>
      </c>
      <c r="H278" t="s">
        <v>73</v>
      </c>
      <c r="I278">
        <v>3</v>
      </c>
      <c r="J278">
        <v>5000</v>
      </c>
      <c r="K278">
        <v>0.05</v>
      </c>
      <c r="L278">
        <v>14250</v>
      </c>
      <c r="M278">
        <v>10500</v>
      </c>
      <c r="N278">
        <v>3750</v>
      </c>
      <c r="O278" t="s">
        <v>23</v>
      </c>
      <c r="P278" t="s">
        <v>24</v>
      </c>
      <c r="Q278" t="str">
        <f>TEXT(Table1[[#This Row],[Order_Date]],"mmm")</f>
        <v>May</v>
      </c>
      <c r="R278" t="b">
        <f t="shared" si="4"/>
        <v>1</v>
      </c>
      <c r="T278" s="6">
        <f>Table1[[#This Row],[Profit]]/Table1[[#This Row],[Sales]]</f>
        <v>0.26315789473684209</v>
      </c>
    </row>
    <row r="279" spans="1:20" x14ac:dyDescent="0.3">
      <c r="A279" t="s">
        <v>374</v>
      </c>
      <c r="B279" s="17">
        <v>45684</v>
      </c>
      <c r="C279" t="s">
        <v>132</v>
      </c>
      <c r="D279" t="s">
        <v>133</v>
      </c>
      <c r="E279" t="s">
        <v>33</v>
      </c>
      <c r="F279" t="s">
        <v>34</v>
      </c>
      <c r="G279" t="s">
        <v>28</v>
      </c>
      <c r="H279" t="s">
        <v>29</v>
      </c>
      <c r="I279">
        <v>5</v>
      </c>
      <c r="J279">
        <v>7000</v>
      </c>
      <c r="K279">
        <v>0</v>
      </c>
      <c r="L279">
        <v>35000</v>
      </c>
      <c r="M279">
        <v>24000</v>
      </c>
      <c r="N279">
        <v>11000</v>
      </c>
      <c r="O279" t="s">
        <v>58</v>
      </c>
      <c r="P279" t="s">
        <v>42</v>
      </c>
      <c r="Q279" t="str">
        <f>TEXT(Table1[[#This Row],[Order_Date]],"mmm")</f>
        <v>Jan</v>
      </c>
      <c r="R279" t="b">
        <f t="shared" si="4"/>
        <v>1</v>
      </c>
      <c r="T279" s="6">
        <f>Table1[[#This Row],[Profit]]/Table1[[#This Row],[Sales]]</f>
        <v>0.31428571428571428</v>
      </c>
    </row>
    <row r="280" spans="1:20" x14ac:dyDescent="0.3">
      <c r="A280" t="s">
        <v>375</v>
      </c>
      <c r="B280" s="17">
        <v>45764</v>
      </c>
      <c r="C280" t="s">
        <v>63</v>
      </c>
      <c r="D280" t="s">
        <v>64</v>
      </c>
      <c r="E280" t="s">
        <v>44</v>
      </c>
      <c r="F280" t="s">
        <v>34</v>
      </c>
      <c r="G280" t="s">
        <v>21</v>
      </c>
      <c r="H280" t="s">
        <v>22</v>
      </c>
      <c r="I280">
        <v>1</v>
      </c>
      <c r="J280">
        <v>8000</v>
      </c>
      <c r="K280">
        <v>0</v>
      </c>
      <c r="L280">
        <v>8000</v>
      </c>
      <c r="M280">
        <v>5600</v>
      </c>
      <c r="N280">
        <v>2400</v>
      </c>
      <c r="O280" t="s">
        <v>51</v>
      </c>
      <c r="P280" t="s">
        <v>24</v>
      </c>
      <c r="Q280" t="str">
        <f>TEXT(Table1[[#This Row],[Order_Date]],"mmm")</f>
        <v>Apr</v>
      </c>
      <c r="R280" t="b">
        <f t="shared" si="4"/>
        <v>1</v>
      </c>
      <c r="T280" s="6">
        <f>Table1[[#This Row],[Profit]]/Table1[[#This Row],[Sales]]</f>
        <v>0.3</v>
      </c>
    </row>
    <row r="281" spans="1:20" x14ac:dyDescent="0.3">
      <c r="A281" t="s">
        <v>376</v>
      </c>
      <c r="B281" s="17">
        <v>46014</v>
      </c>
      <c r="C281" t="s">
        <v>93</v>
      </c>
      <c r="D281" t="s">
        <v>94</v>
      </c>
      <c r="E281" t="s">
        <v>67</v>
      </c>
      <c r="F281" t="s">
        <v>50</v>
      </c>
      <c r="G281" t="s">
        <v>35</v>
      </c>
      <c r="H281" t="s">
        <v>69</v>
      </c>
      <c r="I281">
        <v>2</v>
      </c>
      <c r="J281">
        <v>4500</v>
      </c>
      <c r="K281">
        <v>0.15</v>
      </c>
      <c r="L281">
        <v>7650</v>
      </c>
      <c r="M281">
        <v>6200</v>
      </c>
      <c r="N281">
        <v>1450</v>
      </c>
      <c r="O281" t="s">
        <v>97</v>
      </c>
      <c r="P281" t="s">
        <v>42</v>
      </c>
      <c r="Q281" t="str">
        <f>TEXT(Table1[[#This Row],[Order_Date]],"mmm")</f>
        <v>Dec</v>
      </c>
      <c r="R281" t="b">
        <f t="shared" si="4"/>
        <v>1</v>
      </c>
      <c r="T281" s="6">
        <f>Table1[[#This Row],[Profit]]/Table1[[#This Row],[Sales]]</f>
        <v>0.18954248366013071</v>
      </c>
    </row>
    <row r="282" spans="1:20" x14ac:dyDescent="0.3">
      <c r="A282" t="s">
        <v>377</v>
      </c>
      <c r="B282" s="17">
        <v>45852</v>
      </c>
      <c r="C282" t="s">
        <v>107</v>
      </c>
      <c r="D282" t="s">
        <v>108</v>
      </c>
      <c r="E282" t="s">
        <v>116</v>
      </c>
      <c r="F282" t="s">
        <v>78</v>
      </c>
      <c r="G282" t="s">
        <v>40</v>
      </c>
      <c r="H282" t="s">
        <v>61</v>
      </c>
      <c r="I282">
        <v>3</v>
      </c>
      <c r="J282">
        <v>3000</v>
      </c>
      <c r="K282">
        <v>0.05</v>
      </c>
      <c r="L282">
        <v>8550</v>
      </c>
      <c r="M282">
        <v>5700</v>
      </c>
      <c r="N282">
        <v>2850</v>
      </c>
      <c r="O282" t="s">
        <v>51</v>
      </c>
      <c r="P282" t="s">
        <v>42</v>
      </c>
      <c r="Q282" t="str">
        <f>TEXT(Table1[[#This Row],[Order_Date]],"mmm")</f>
        <v>Jul</v>
      </c>
      <c r="R282" t="b">
        <f t="shared" si="4"/>
        <v>1</v>
      </c>
      <c r="T282" s="6">
        <f>Table1[[#This Row],[Profit]]/Table1[[#This Row],[Sales]]</f>
        <v>0.33333333333333331</v>
      </c>
    </row>
    <row r="283" spans="1:20" x14ac:dyDescent="0.3">
      <c r="A283" t="s">
        <v>378</v>
      </c>
      <c r="B283" s="17">
        <v>45708</v>
      </c>
      <c r="C283" t="s">
        <v>90</v>
      </c>
      <c r="D283" t="s">
        <v>91</v>
      </c>
      <c r="E283" t="s">
        <v>49</v>
      </c>
      <c r="F283" t="s">
        <v>50</v>
      </c>
      <c r="G283" t="s">
        <v>21</v>
      </c>
      <c r="H283" t="s">
        <v>86</v>
      </c>
      <c r="I283">
        <v>3</v>
      </c>
      <c r="J283">
        <v>3500</v>
      </c>
      <c r="K283">
        <v>0.05</v>
      </c>
      <c r="L283">
        <v>9975</v>
      </c>
      <c r="M283">
        <v>7200</v>
      </c>
      <c r="N283">
        <v>2775</v>
      </c>
      <c r="O283" t="s">
        <v>51</v>
      </c>
      <c r="P283" t="s">
        <v>24</v>
      </c>
      <c r="Q283" t="str">
        <f>TEXT(Table1[[#This Row],[Order_Date]],"mmm")</f>
        <v>Feb</v>
      </c>
      <c r="R283" t="b">
        <f t="shared" si="4"/>
        <v>1</v>
      </c>
      <c r="T283" s="6">
        <f>Table1[[#This Row],[Profit]]/Table1[[#This Row],[Sales]]</f>
        <v>0.2781954887218045</v>
      </c>
    </row>
    <row r="284" spans="1:20" x14ac:dyDescent="0.3">
      <c r="A284" t="s">
        <v>379</v>
      </c>
      <c r="B284" s="17">
        <v>45946</v>
      </c>
      <c r="C284" t="s">
        <v>47</v>
      </c>
      <c r="D284" t="s">
        <v>48</v>
      </c>
      <c r="E284" t="s">
        <v>67</v>
      </c>
      <c r="F284" t="s">
        <v>50</v>
      </c>
      <c r="G284" t="s">
        <v>28</v>
      </c>
      <c r="H284" t="s">
        <v>73</v>
      </c>
      <c r="I284">
        <v>2</v>
      </c>
      <c r="J284">
        <v>4500</v>
      </c>
      <c r="K284">
        <v>0.15</v>
      </c>
      <c r="L284">
        <v>7650</v>
      </c>
      <c r="M284">
        <v>6200</v>
      </c>
      <c r="N284">
        <v>1450</v>
      </c>
      <c r="O284" t="s">
        <v>51</v>
      </c>
      <c r="P284" t="s">
        <v>42</v>
      </c>
      <c r="Q284" t="str">
        <f>TEXT(Table1[[#This Row],[Order_Date]],"mmm")</f>
        <v>Oct</v>
      </c>
      <c r="R284" t="b">
        <f t="shared" si="4"/>
        <v>1</v>
      </c>
      <c r="T284" s="6">
        <f>Table1[[#This Row],[Profit]]/Table1[[#This Row],[Sales]]</f>
        <v>0.18954248366013071</v>
      </c>
    </row>
    <row r="285" spans="1:20" x14ac:dyDescent="0.3">
      <c r="A285" t="s">
        <v>380</v>
      </c>
      <c r="B285" s="17">
        <v>45736</v>
      </c>
      <c r="C285" t="s">
        <v>207</v>
      </c>
      <c r="D285" t="s">
        <v>208</v>
      </c>
      <c r="E285" t="s">
        <v>38</v>
      </c>
      <c r="F285" t="s">
        <v>34</v>
      </c>
      <c r="G285" t="s">
        <v>35</v>
      </c>
      <c r="H285" t="s">
        <v>36</v>
      </c>
      <c r="I285">
        <v>2</v>
      </c>
      <c r="J285">
        <v>12000</v>
      </c>
      <c r="K285">
        <v>0</v>
      </c>
      <c r="L285">
        <v>24000</v>
      </c>
      <c r="M285">
        <v>17000</v>
      </c>
      <c r="N285">
        <v>7000</v>
      </c>
      <c r="O285" t="s">
        <v>51</v>
      </c>
      <c r="P285" t="s">
        <v>42</v>
      </c>
      <c r="Q285" t="str">
        <f>TEXT(Table1[[#This Row],[Order_Date]],"mmm")</f>
        <v>Mar</v>
      </c>
      <c r="R285" t="b">
        <f t="shared" si="4"/>
        <v>1</v>
      </c>
      <c r="T285" s="6">
        <f>Table1[[#This Row],[Profit]]/Table1[[#This Row],[Sales]]</f>
        <v>0.29166666666666669</v>
      </c>
    </row>
    <row r="286" spans="1:20" x14ac:dyDescent="0.3">
      <c r="A286" t="s">
        <v>381</v>
      </c>
      <c r="B286" s="17">
        <v>45789</v>
      </c>
      <c r="C286" t="s">
        <v>90</v>
      </c>
      <c r="D286" t="s">
        <v>91</v>
      </c>
      <c r="E286" t="s">
        <v>67</v>
      </c>
      <c r="F286" t="s">
        <v>50</v>
      </c>
      <c r="G286" t="s">
        <v>35</v>
      </c>
      <c r="H286" t="s">
        <v>69</v>
      </c>
      <c r="I286">
        <v>4</v>
      </c>
      <c r="J286">
        <v>4500</v>
      </c>
      <c r="K286">
        <v>0.05</v>
      </c>
      <c r="L286">
        <v>17100</v>
      </c>
      <c r="M286">
        <v>12400</v>
      </c>
      <c r="N286">
        <v>4700</v>
      </c>
      <c r="O286" t="s">
        <v>58</v>
      </c>
      <c r="P286" t="s">
        <v>24</v>
      </c>
      <c r="Q286" t="str">
        <f>TEXT(Table1[[#This Row],[Order_Date]],"mmm")</f>
        <v>May</v>
      </c>
      <c r="R286" t="b">
        <f t="shared" si="4"/>
        <v>1</v>
      </c>
      <c r="T286" s="6">
        <f>Table1[[#This Row],[Profit]]/Table1[[#This Row],[Sales]]</f>
        <v>0.27485380116959063</v>
      </c>
    </row>
    <row r="287" spans="1:20" x14ac:dyDescent="0.3">
      <c r="A287" t="s">
        <v>382</v>
      </c>
      <c r="B287" s="17">
        <v>45937</v>
      </c>
      <c r="C287" t="s">
        <v>90</v>
      </c>
      <c r="D287" t="s">
        <v>91</v>
      </c>
      <c r="E287" t="s">
        <v>55</v>
      </c>
      <c r="F287" t="s">
        <v>20</v>
      </c>
      <c r="G287" t="s">
        <v>28</v>
      </c>
      <c r="H287" t="s">
        <v>102</v>
      </c>
      <c r="I287">
        <v>5</v>
      </c>
      <c r="J287">
        <v>2500</v>
      </c>
      <c r="K287">
        <v>0</v>
      </c>
      <c r="L287">
        <v>12500</v>
      </c>
      <c r="M287">
        <v>8500</v>
      </c>
      <c r="N287">
        <v>4000</v>
      </c>
      <c r="O287" t="s">
        <v>23</v>
      </c>
      <c r="P287" t="s">
        <v>24</v>
      </c>
      <c r="Q287" t="str">
        <f>TEXT(Table1[[#This Row],[Order_Date]],"mmm")</f>
        <v>Oct</v>
      </c>
      <c r="R287" t="b">
        <f t="shared" si="4"/>
        <v>1</v>
      </c>
      <c r="T287" s="6">
        <f>Table1[[#This Row],[Profit]]/Table1[[#This Row],[Sales]]</f>
        <v>0.32</v>
      </c>
    </row>
    <row r="288" spans="1:20" x14ac:dyDescent="0.3">
      <c r="A288" t="s">
        <v>383</v>
      </c>
      <c r="B288" s="17">
        <v>45661</v>
      </c>
      <c r="C288" t="s">
        <v>26</v>
      </c>
      <c r="D288" t="s">
        <v>27</v>
      </c>
      <c r="E288" t="s">
        <v>55</v>
      </c>
      <c r="F288" t="s">
        <v>20</v>
      </c>
      <c r="G288" t="s">
        <v>28</v>
      </c>
      <c r="H288" t="s">
        <v>102</v>
      </c>
      <c r="I288">
        <v>2</v>
      </c>
      <c r="J288">
        <v>2500</v>
      </c>
      <c r="K288">
        <v>0</v>
      </c>
      <c r="L288">
        <v>5000</v>
      </c>
      <c r="M288">
        <v>3400</v>
      </c>
      <c r="N288">
        <v>1600</v>
      </c>
      <c r="O288" t="s">
        <v>23</v>
      </c>
      <c r="P288" t="s">
        <v>24</v>
      </c>
      <c r="Q288" t="str">
        <f>TEXT(Table1[[#This Row],[Order_Date]],"mmm")</f>
        <v>Jan</v>
      </c>
      <c r="R288" t="b">
        <f t="shared" si="4"/>
        <v>1</v>
      </c>
      <c r="T288" s="6">
        <f>Table1[[#This Row],[Profit]]/Table1[[#This Row],[Sales]]</f>
        <v>0.32</v>
      </c>
    </row>
    <row r="289" spans="1:20" x14ac:dyDescent="0.3">
      <c r="A289" t="s">
        <v>384</v>
      </c>
      <c r="B289" s="17">
        <v>45916</v>
      </c>
      <c r="C289" t="s">
        <v>107</v>
      </c>
      <c r="D289" t="s">
        <v>108</v>
      </c>
      <c r="E289" t="s">
        <v>38</v>
      </c>
      <c r="F289" t="s">
        <v>34</v>
      </c>
      <c r="G289" t="s">
        <v>35</v>
      </c>
      <c r="H289" t="s">
        <v>36</v>
      </c>
      <c r="I289">
        <v>1</v>
      </c>
      <c r="J289">
        <v>12000</v>
      </c>
      <c r="K289">
        <v>0.1</v>
      </c>
      <c r="L289">
        <v>10800</v>
      </c>
      <c r="M289">
        <v>8500</v>
      </c>
      <c r="N289">
        <v>2300</v>
      </c>
      <c r="O289" t="s">
        <v>23</v>
      </c>
      <c r="P289" t="s">
        <v>24</v>
      </c>
      <c r="Q289" t="str">
        <f>TEXT(Table1[[#This Row],[Order_Date]],"mmm")</f>
        <v>Sep</v>
      </c>
      <c r="R289" t="b">
        <f t="shared" si="4"/>
        <v>1</v>
      </c>
      <c r="T289" s="6">
        <f>Table1[[#This Row],[Profit]]/Table1[[#This Row],[Sales]]</f>
        <v>0.21296296296296297</v>
      </c>
    </row>
    <row r="290" spans="1:20" x14ac:dyDescent="0.3">
      <c r="A290" t="s">
        <v>385</v>
      </c>
      <c r="B290" s="17">
        <v>45930</v>
      </c>
      <c r="C290" t="s">
        <v>31</v>
      </c>
      <c r="D290" t="s">
        <v>32</v>
      </c>
      <c r="E290" t="s">
        <v>33</v>
      </c>
      <c r="F290" t="s">
        <v>34</v>
      </c>
      <c r="G290" t="s">
        <v>28</v>
      </c>
      <c r="H290" t="s">
        <v>102</v>
      </c>
      <c r="I290">
        <v>1</v>
      </c>
      <c r="J290">
        <v>7000</v>
      </c>
      <c r="K290">
        <v>0.05</v>
      </c>
      <c r="L290">
        <v>6650</v>
      </c>
      <c r="M290">
        <v>4800</v>
      </c>
      <c r="N290">
        <v>1850</v>
      </c>
      <c r="O290" t="s">
        <v>97</v>
      </c>
      <c r="P290" t="s">
        <v>24</v>
      </c>
      <c r="Q290" t="str">
        <f>TEXT(Table1[[#This Row],[Order_Date]],"mmm")</f>
        <v>Sep</v>
      </c>
      <c r="R290" t="b">
        <f t="shared" si="4"/>
        <v>1</v>
      </c>
      <c r="T290" s="6">
        <f>Table1[[#This Row],[Profit]]/Table1[[#This Row],[Sales]]</f>
        <v>0.2781954887218045</v>
      </c>
    </row>
    <row r="291" spans="1:20" x14ac:dyDescent="0.3">
      <c r="A291" t="s">
        <v>386</v>
      </c>
      <c r="B291" s="17">
        <v>45915</v>
      </c>
      <c r="C291" t="s">
        <v>26</v>
      </c>
      <c r="D291" t="s">
        <v>27</v>
      </c>
      <c r="E291" t="s">
        <v>49</v>
      </c>
      <c r="F291" t="s">
        <v>50</v>
      </c>
      <c r="G291" t="s">
        <v>28</v>
      </c>
      <c r="H291" t="s">
        <v>29</v>
      </c>
      <c r="I291">
        <v>2</v>
      </c>
      <c r="J291">
        <v>3500</v>
      </c>
      <c r="K291">
        <v>0.15</v>
      </c>
      <c r="L291">
        <v>5950</v>
      </c>
      <c r="M291">
        <v>4800</v>
      </c>
      <c r="N291">
        <v>1150</v>
      </c>
      <c r="O291" t="s">
        <v>58</v>
      </c>
      <c r="P291" t="s">
        <v>24</v>
      </c>
      <c r="Q291" t="str">
        <f>TEXT(Table1[[#This Row],[Order_Date]],"mmm")</f>
        <v>Sep</v>
      </c>
      <c r="R291" t="b">
        <f t="shared" si="4"/>
        <v>1</v>
      </c>
      <c r="T291" s="6">
        <f>Table1[[#This Row],[Profit]]/Table1[[#This Row],[Sales]]</f>
        <v>0.19327731092436976</v>
      </c>
    </row>
    <row r="292" spans="1:20" x14ac:dyDescent="0.3">
      <c r="A292" t="s">
        <v>387</v>
      </c>
      <c r="B292" s="17">
        <v>45756</v>
      </c>
      <c r="C292" t="s">
        <v>93</v>
      </c>
      <c r="D292" t="s">
        <v>94</v>
      </c>
      <c r="E292" t="s">
        <v>116</v>
      </c>
      <c r="F292" t="s">
        <v>78</v>
      </c>
      <c r="G292" t="s">
        <v>40</v>
      </c>
      <c r="H292" t="s">
        <v>61</v>
      </c>
      <c r="I292">
        <v>3</v>
      </c>
      <c r="J292">
        <v>3000</v>
      </c>
      <c r="K292">
        <v>0.1</v>
      </c>
      <c r="L292">
        <v>8100</v>
      </c>
      <c r="M292">
        <v>5700</v>
      </c>
      <c r="N292">
        <v>2400</v>
      </c>
      <c r="O292" t="s">
        <v>23</v>
      </c>
      <c r="P292" t="s">
        <v>42</v>
      </c>
      <c r="Q292" t="str">
        <f>TEXT(Table1[[#This Row],[Order_Date]],"mmm")</f>
        <v>Apr</v>
      </c>
      <c r="R292" t="b">
        <f t="shared" si="4"/>
        <v>1</v>
      </c>
      <c r="T292" s="6">
        <f>Table1[[#This Row],[Profit]]/Table1[[#This Row],[Sales]]</f>
        <v>0.29629629629629628</v>
      </c>
    </row>
    <row r="293" spans="1:20" x14ac:dyDescent="0.3">
      <c r="A293" t="s">
        <v>388</v>
      </c>
      <c r="B293" s="17">
        <v>45865</v>
      </c>
      <c r="C293" t="s">
        <v>107</v>
      </c>
      <c r="D293" t="s">
        <v>108</v>
      </c>
      <c r="E293" t="s">
        <v>85</v>
      </c>
      <c r="F293" t="s">
        <v>78</v>
      </c>
      <c r="G293" t="s">
        <v>21</v>
      </c>
      <c r="H293" t="s">
        <v>86</v>
      </c>
      <c r="I293">
        <v>2</v>
      </c>
      <c r="J293">
        <v>900</v>
      </c>
      <c r="K293">
        <v>0</v>
      </c>
      <c r="L293">
        <v>1800</v>
      </c>
      <c r="M293">
        <v>1000</v>
      </c>
      <c r="N293">
        <v>800</v>
      </c>
      <c r="O293" t="s">
        <v>23</v>
      </c>
      <c r="P293" t="s">
        <v>24</v>
      </c>
      <c r="Q293" t="str">
        <f>TEXT(Table1[[#This Row],[Order_Date]],"mmm")</f>
        <v>Jul</v>
      </c>
      <c r="R293" t="b">
        <f t="shared" si="4"/>
        <v>1</v>
      </c>
      <c r="T293" s="6">
        <f>Table1[[#This Row],[Profit]]/Table1[[#This Row],[Sales]]</f>
        <v>0.44444444444444442</v>
      </c>
    </row>
    <row r="294" spans="1:20" x14ac:dyDescent="0.3">
      <c r="A294" t="s">
        <v>389</v>
      </c>
      <c r="B294" s="17">
        <v>45865</v>
      </c>
      <c r="C294" t="s">
        <v>122</v>
      </c>
      <c r="D294" t="s">
        <v>123</v>
      </c>
      <c r="E294" t="s">
        <v>33</v>
      </c>
      <c r="F294" t="s">
        <v>34</v>
      </c>
      <c r="G294" t="s">
        <v>35</v>
      </c>
      <c r="H294" t="s">
        <v>69</v>
      </c>
      <c r="I294">
        <v>5</v>
      </c>
      <c r="J294">
        <v>7000</v>
      </c>
      <c r="K294">
        <v>0</v>
      </c>
      <c r="L294">
        <v>35000</v>
      </c>
      <c r="M294">
        <v>24000</v>
      </c>
      <c r="N294">
        <v>11000</v>
      </c>
      <c r="O294" t="s">
        <v>58</v>
      </c>
      <c r="P294" t="s">
        <v>24</v>
      </c>
      <c r="Q294" t="str">
        <f>TEXT(Table1[[#This Row],[Order_Date]],"mmm")</f>
        <v>Jul</v>
      </c>
      <c r="R294" t="b">
        <f t="shared" si="4"/>
        <v>1</v>
      </c>
      <c r="T294" s="6">
        <f>Table1[[#This Row],[Profit]]/Table1[[#This Row],[Sales]]</f>
        <v>0.31428571428571428</v>
      </c>
    </row>
    <row r="295" spans="1:20" x14ac:dyDescent="0.3">
      <c r="A295" t="s">
        <v>390</v>
      </c>
      <c r="B295" s="17">
        <v>45913</v>
      </c>
      <c r="C295" t="s">
        <v>26</v>
      </c>
      <c r="D295" t="s">
        <v>27</v>
      </c>
      <c r="E295" t="s">
        <v>77</v>
      </c>
      <c r="F295" t="s">
        <v>78</v>
      </c>
      <c r="G295" t="s">
        <v>28</v>
      </c>
      <c r="H295" t="s">
        <v>102</v>
      </c>
      <c r="I295">
        <v>3</v>
      </c>
      <c r="J295">
        <v>1800</v>
      </c>
      <c r="K295">
        <v>0</v>
      </c>
      <c r="L295">
        <v>5400</v>
      </c>
      <c r="M295">
        <v>3300</v>
      </c>
      <c r="N295">
        <v>2100</v>
      </c>
      <c r="O295" t="s">
        <v>58</v>
      </c>
      <c r="P295" t="s">
        <v>24</v>
      </c>
      <c r="Q295" t="str">
        <f>TEXT(Table1[[#This Row],[Order_Date]],"mmm")</f>
        <v>Sep</v>
      </c>
      <c r="R295" t="b">
        <f t="shared" si="4"/>
        <v>1</v>
      </c>
      <c r="T295" s="6">
        <f>Table1[[#This Row],[Profit]]/Table1[[#This Row],[Sales]]</f>
        <v>0.3888888888888889</v>
      </c>
    </row>
    <row r="296" spans="1:20" x14ac:dyDescent="0.3">
      <c r="A296" t="s">
        <v>391</v>
      </c>
      <c r="B296" s="17">
        <v>46012</v>
      </c>
      <c r="C296" t="s">
        <v>113</v>
      </c>
      <c r="D296" t="s">
        <v>114</v>
      </c>
      <c r="E296" t="s">
        <v>80</v>
      </c>
      <c r="F296" t="s">
        <v>81</v>
      </c>
      <c r="G296" t="s">
        <v>28</v>
      </c>
      <c r="H296" t="s">
        <v>29</v>
      </c>
      <c r="I296">
        <v>3</v>
      </c>
      <c r="J296">
        <v>1800</v>
      </c>
      <c r="K296">
        <v>0.05</v>
      </c>
      <c r="L296">
        <v>5130</v>
      </c>
      <c r="M296">
        <v>3300</v>
      </c>
      <c r="N296">
        <v>1830</v>
      </c>
      <c r="O296" t="s">
        <v>23</v>
      </c>
      <c r="P296" t="s">
        <v>24</v>
      </c>
      <c r="Q296" t="str">
        <f>TEXT(Table1[[#This Row],[Order_Date]],"mmm")</f>
        <v>Dec</v>
      </c>
      <c r="R296" t="b">
        <f t="shared" si="4"/>
        <v>1</v>
      </c>
      <c r="T296" s="6">
        <f>Table1[[#This Row],[Profit]]/Table1[[#This Row],[Sales]]</f>
        <v>0.35672514619883039</v>
      </c>
    </row>
    <row r="297" spans="1:20" x14ac:dyDescent="0.3">
      <c r="A297" t="s">
        <v>392</v>
      </c>
      <c r="B297" s="17">
        <v>45819</v>
      </c>
      <c r="C297" t="s">
        <v>75</v>
      </c>
      <c r="D297" t="s">
        <v>76</v>
      </c>
      <c r="E297" t="s">
        <v>65</v>
      </c>
      <c r="F297" t="s">
        <v>20</v>
      </c>
      <c r="G297" t="s">
        <v>21</v>
      </c>
      <c r="H297" t="s">
        <v>95</v>
      </c>
      <c r="I297">
        <v>5</v>
      </c>
      <c r="J297">
        <v>5000</v>
      </c>
      <c r="K297">
        <v>0.1</v>
      </c>
      <c r="L297">
        <v>22500</v>
      </c>
      <c r="M297">
        <v>17500</v>
      </c>
      <c r="N297">
        <v>5000</v>
      </c>
      <c r="O297" t="s">
        <v>23</v>
      </c>
      <c r="P297" t="s">
        <v>42</v>
      </c>
      <c r="Q297" t="str">
        <f>TEXT(Table1[[#This Row],[Order_Date]],"mmm")</f>
        <v>Jun</v>
      </c>
      <c r="R297" t="b">
        <f t="shared" si="4"/>
        <v>1</v>
      </c>
      <c r="T297" s="6">
        <f>Table1[[#This Row],[Profit]]/Table1[[#This Row],[Sales]]</f>
        <v>0.22222222222222221</v>
      </c>
    </row>
    <row r="298" spans="1:20" x14ac:dyDescent="0.3">
      <c r="A298" t="s">
        <v>393</v>
      </c>
      <c r="B298" s="17">
        <v>45741</v>
      </c>
      <c r="C298" t="s">
        <v>113</v>
      </c>
      <c r="D298" t="s">
        <v>114</v>
      </c>
      <c r="E298" t="s">
        <v>65</v>
      </c>
      <c r="F298" t="s">
        <v>20</v>
      </c>
      <c r="G298" t="s">
        <v>35</v>
      </c>
      <c r="H298" t="s">
        <v>36</v>
      </c>
      <c r="I298">
        <v>5</v>
      </c>
      <c r="J298">
        <v>5000</v>
      </c>
      <c r="K298">
        <v>0.15</v>
      </c>
      <c r="L298">
        <v>21250</v>
      </c>
      <c r="M298">
        <v>17500</v>
      </c>
      <c r="N298">
        <v>3750</v>
      </c>
      <c r="O298" t="s">
        <v>97</v>
      </c>
      <c r="P298" t="s">
        <v>42</v>
      </c>
      <c r="Q298" t="str">
        <f>TEXT(Table1[[#This Row],[Order_Date]],"mmm")</f>
        <v>Mar</v>
      </c>
      <c r="R298" t="b">
        <f t="shared" si="4"/>
        <v>1</v>
      </c>
      <c r="T298" s="6">
        <f>Table1[[#This Row],[Profit]]/Table1[[#This Row],[Sales]]</f>
        <v>0.17647058823529413</v>
      </c>
    </row>
    <row r="299" spans="1:20" x14ac:dyDescent="0.3">
      <c r="A299" t="s">
        <v>394</v>
      </c>
      <c r="B299" s="17">
        <v>45729</v>
      </c>
      <c r="C299" t="s">
        <v>119</v>
      </c>
      <c r="D299" t="s">
        <v>120</v>
      </c>
      <c r="E299" t="s">
        <v>116</v>
      </c>
      <c r="F299" t="s">
        <v>78</v>
      </c>
      <c r="G299" t="s">
        <v>28</v>
      </c>
      <c r="H299" t="s">
        <v>29</v>
      </c>
      <c r="I299">
        <v>3</v>
      </c>
      <c r="J299">
        <v>3000</v>
      </c>
      <c r="K299">
        <v>0.1</v>
      </c>
      <c r="L299">
        <v>8100</v>
      </c>
      <c r="M299">
        <v>5700</v>
      </c>
      <c r="N299">
        <v>2400</v>
      </c>
      <c r="O299" t="s">
        <v>58</v>
      </c>
      <c r="P299" t="s">
        <v>24</v>
      </c>
      <c r="Q299" t="str">
        <f>TEXT(Table1[[#This Row],[Order_Date]],"mmm")</f>
        <v>Mar</v>
      </c>
      <c r="R299" t="b">
        <f t="shared" si="4"/>
        <v>1</v>
      </c>
      <c r="T299" s="6">
        <f>Table1[[#This Row],[Profit]]/Table1[[#This Row],[Sales]]</f>
        <v>0.29629629629629628</v>
      </c>
    </row>
    <row r="300" spans="1:20" x14ac:dyDescent="0.3">
      <c r="A300" t="s">
        <v>395</v>
      </c>
      <c r="B300" s="17">
        <v>45832</v>
      </c>
      <c r="C300" t="s">
        <v>93</v>
      </c>
      <c r="D300" t="s">
        <v>94</v>
      </c>
      <c r="E300" t="s">
        <v>49</v>
      </c>
      <c r="F300" t="s">
        <v>50</v>
      </c>
      <c r="G300" t="s">
        <v>35</v>
      </c>
      <c r="H300" t="s">
        <v>57</v>
      </c>
      <c r="I300">
        <v>5</v>
      </c>
      <c r="J300">
        <v>3500</v>
      </c>
      <c r="K300">
        <v>0</v>
      </c>
      <c r="L300">
        <v>17500</v>
      </c>
      <c r="M300">
        <v>12000</v>
      </c>
      <c r="N300">
        <v>5500</v>
      </c>
      <c r="O300" t="s">
        <v>97</v>
      </c>
      <c r="P300" t="s">
        <v>42</v>
      </c>
      <c r="Q300" t="str">
        <f>TEXT(Table1[[#This Row],[Order_Date]],"mmm")</f>
        <v>Jun</v>
      </c>
      <c r="R300" t="b">
        <f t="shared" si="4"/>
        <v>1</v>
      </c>
      <c r="T300" s="6">
        <f>Table1[[#This Row],[Profit]]/Table1[[#This Row],[Sales]]</f>
        <v>0.31428571428571428</v>
      </c>
    </row>
    <row r="301" spans="1:20" x14ac:dyDescent="0.3">
      <c r="A301" t="s">
        <v>396</v>
      </c>
      <c r="B301" s="17">
        <v>45909</v>
      </c>
      <c r="C301" t="s">
        <v>47</v>
      </c>
      <c r="D301" t="s">
        <v>48</v>
      </c>
      <c r="E301" t="s">
        <v>38</v>
      </c>
      <c r="F301" t="s">
        <v>34</v>
      </c>
      <c r="G301" t="s">
        <v>35</v>
      </c>
      <c r="H301" t="s">
        <v>57</v>
      </c>
      <c r="I301">
        <v>5</v>
      </c>
      <c r="J301">
        <v>12000</v>
      </c>
      <c r="K301">
        <v>0</v>
      </c>
      <c r="L301">
        <v>60000</v>
      </c>
      <c r="M301">
        <v>42500</v>
      </c>
      <c r="N301">
        <v>17500</v>
      </c>
      <c r="O301" t="s">
        <v>51</v>
      </c>
      <c r="P301" t="s">
        <v>24</v>
      </c>
      <c r="Q301" t="str">
        <f>TEXT(Table1[[#This Row],[Order_Date]],"mmm")</f>
        <v>Sep</v>
      </c>
      <c r="R301" t="b">
        <f t="shared" si="4"/>
        <v>1</v>
      </c>
      <c r="T301" s="6">
        <f>Table1[[#This Row],[Profit]]/Table1[[#This Row],[Sales]]</f>
        <v>0.29166666666666669</v>
      </c>
    </row>
    <row r="302" spans="1:20" x14ac:dyDescent="0.3">
      <c r="A302" t="s">
        <v>397</v>
      </c>
      <c r="B302" s="17">
        <v>45974</v>
      </c>
      <c r="C302" t="s">
        <v>128</v>
      </c>
      <c r="D302" t="s">
        <v>129</v>
      </c>
      <c r="E302" t="s">
        <v>49</v>
      </c>
      <c r="F302" t="s">
        <v>50</v>
      </c>
      <c r="G302" t="s">
        <v>28</v>
      </c>
      <c r="H302" t="s">
        <v>29</v>
      </c>
      <c r="I302">
        <v>2</v>
      </c>
      <c r="J302">
        <v>3500</v>
      </c>
      <c r="K302">
        <v>0.05</v>
      </c>
      <c r="L302">
        <v>6650</v>
      </c>
      <c r="M302">
        <v>4800</v>
      </c>
      <c r="N302">
        <v>1850</v>
      </c>
      <c r="O302" t="s">
        <v>58</v>
      </c>
      <c r="P302" t="s">
        <v>42</v>
      </c>
      <c r="Q302" t="str">
        <f>TEXT(Table1[[#This Row],[Order_Date]],"mmm")</f>
        <v>Nov</v>
      </c>
      <c r="R302" t="b">
        <f t="shared" si="4"/>
        <v>1</v>
      </c>
      <c r="T302" s="6">
        <f>Table1[[#This Row],[Profit]]/Table1[[#This Row],[Sales]]</f>
        <v>0.2781954887218045</v>
      </c>
    </row>
    <row r="303" spans="1:20" x14ac:dyDescent="0.3">
      <c r="A303" t="s">
        <v>398</v>
      </c>
      <c r="B303" s="17">
        <v>46022</v>
      </c>
      <c r="C303" t="s">
        <v>135</v>
      </c>
      <c r="D303" t="s">
        <v>136</v>
      </c>
      <c r="E303" t="s">
        <v>67</v>
      </c>
      <c r="F303" t="s">
        <v>50</v>
      </c>
      <c r="G303" t="s">
        <v>40</v>
      </c>
      <c r="H303" t="s">
        <v>61</v>
      </c>
      <c r="I303">
        <v>4</v>
      </c>
      <c r="J303">
        <v>4500</v>
      </c>
      <c r="K303">
        <v>0</v>
      </c>
      <c r="L303">
        <v>18000</v>
      </c>
      <c r="M303">
        <v>12400</v>
      </c>
      <c r="N303">
        <v>5600</v>
      </c>
      <c r="O303" t="s">
        <v>23</v>
      </c>
      <c r="P303" t="s">
        <v>24</v>
      </c>
      <c r="Q303" t="str">
        <f>TEXT(Table1[[#This Row],[Order_Date]],"mmm")</f>
        <v>Dec</v>
      </c>
      <c r="R303" t="b">
        <f t="shared" si="4"/>
        <v>1</v>
      </c>
      <c r="T303" s="6">
        <f>Table1[[#This Row],[Profit]]/Table1[[#This Row],[Sales]]</f>
        <v>0.31111111111111112</v>
      </c>
    </row>
    <row r="304" spans="1:20" x14ac:dyDescent="0.3">
      <c r="A304" t="s">
        <v>399</v>
      </c>
      <c r="B304" s="17">
        <v>45815</v>
      </c>
      <c r="C304" t="s">
        <v>107</v>
      </c>
      <c r="D304" t="s">
        <v>108</v>
      </c>
      <c r="E304" t="s">
        <v>38</v>
      </c>
      <c r="F304" t="s">
        <v>34</v>
      </c>
      <c r="G304" t="s">
        <v>28</v>
      </c>
      <c r="H304" t="s">
        <v>29</v>
      </c>
      <c r="I304">
        <v>3</v>
      </c>
      <c r="J304">
        <v>12000</v>
      </c>
      <c r="K304">
        <v>0</v>
      </c>
      <c r="L304">
        <v>36000</v>
      </c>
      <c r="M304">
        <v>25500</v>
      </c>
      <c r="N304">
        <v>10500</v>
      </c>
      <c r="O304" t="s">
        <v>58</v>
      </c>
      <c r="P304" t="s">
        <v>42</v>
      </c>
      <c r="Q304" t="str">
        <f>TEXT(Table1[[#This Row],[Order_Date]],"mmm")</f>
        <v>Jun</v>
      </c>
      <c r="R304" t="b">
        <f t="shared" si="4"/>
        <v>1</v>
      </c>
      <c r="T304" s="6">
        <f>Table1[[#This Row],[Profit]]/Table1[[#This Row],[Sales]]</f>
        <v>0.29166666666666669</v>
      </c>
    </row>
    <row r="305" spans="1:20" x14ac:dyDescent="0.3">
      <c r="A305" t="s">
        <v>400</v>
      </c>
      <c r="B305" s="17">
        <v>45887</v>
      </c>
      <c r="C305" t="s">
        <v>31</v>
      </c>
      <c r="D305" t="s">
        <v>32</v>
      </c>
      <c r="E305" t="s">
        <v>116</v>
      </c>
      <c r="F305" t="s">
        <v>78</v>
      </c>
      <c r="G305" t="s">
        <v>35</v>
      </c>
      <c r="H305" t="s">
        <v>69</v>
      </c>
      <c r="I305">
        <v>5</v>
      </c>
      <c r="J305">
        <v>3000</v>
      </c>
      <c r="K305">
        <v>0</v>
      </c>
      <c r="L305">
        <v>15000</v>
      </c>
      <c r="M305">
        <v>9500</v>
      </c>
      <c r="N305">
        <v>5500</v>
      </c>
      <c r="O305" t="s">
        <v>23</v>
      </c>
      <c r="P305" t="s">
        <v>42</v>
      </c>
      <c r="Q305" t="str">
        <f>TEXT(Table1[[#This Row],[Order_Date]],"mmm")</f>
        <v>Aug</v>
      </c>
      <c r="R305" t="b">
        <f t="shared" si="4"/>
        <v>1</v>
      </c>
      <c r="T305" s="6">
        <f>Table1[[#This Row],[Profit]]/Table1[[#This Row],[Sales]]</f>
        <v>0.36666666666666664</v>
      </c>
    </row>
    <row r="306" spans="1:20" x14ac:dyDescent="0.3">
      <c r="A306" t="s">
        <v>401</v>
      </c>
      <c r="B306" s="17">
        <v>45941</v>
      </c>
      <c r="C306" t="s">
        <v>119</v>
      </c>
      <c r="D306" t="s">
        <v>120</v>
      </c>
      <c r="E306" t="s">
        <v>85</v>
      </c>
      <c r="F306" t="s">
        <v>78</v>
      </c>
      <c r="G306" t="s">
        <v>40</v>
      </c>
      <c r="H306" t="s">
        <v>61</v>
      </c>
      <c r="I306">
        <v>5</v>
      </c>
      <c r="J306">
        <v>900</v>
      </c>
      <c r="K306">
        <v>0</v>
      </c>
      <c r="L306">
        <v>4500</v>
      </c>
      <c r="M306">
        <v>2500</v>
      </c>
      <c r="N306">
        <v>2000</v>
      </c>
      <c r="O306" t="s">
        <v>97</v>
      </c>
      <c r="P306" t="s">
        <v>42</v>
      </c>
      <c r="Q306" t="str">
        <f>TEXT(Table1[[#This Row],[Order_Date]],"mmm")</f>
        <v>Oct</v>
      </c>
      <c r="R306" t="b">
        <f t="shared" si="4"/>
        <v>1</v>
      </c>
      <c r="T306" s="6">
        <f>Table1[[#This Row],[Profit]]/Table1[[#This Row],[Sales]]</f>
        <v>0.44444444444444442</v>
      </c>
    </row>
    <row r="307" spans="1:20" x14ac:dyDescent="0.3">
      <c r="A307" t="s">
        <v>402</v>
      </c>
      <c r="B307" s="17">
        <v>45856</v>
      </c>
      <c r="C307" t="s">
        <v>119</v>
      </c>
      <c r="D307" t="s">
        <v>120</v>
      </c>
      <c r="E307" t="s">
        <v>67</v>
      </c>
      <c r="F307" t="s">
        <v>50</v>
      </c>
      <c r="G307" t="s">
        <v>21</v>
      </c>
      <c r="H307" t="s">
        <v>95</v>
      </c>
      <c r="I307">
        <v>5</v>
      </c>
      <c r="J307">
        <v>4500</v>
      </c>
      <c r="K307">
        <v>0.15</v>
      </c>
      <c r="L307">
        <v>19125</v>
      </c>
      <c r="M307">
        <v>15500</v>
      </c>
      <c r="N307">
        <v>3625</v>
      </c>
      <c r="O307" t="s">
        <v>58</v>
      </c>
      <c r="P307" t="s">
        <v>42</v>
      </c>
      <c r="Q307" t="str">
        <f>TEXT(Table1[[#This Row],[Order_Date]],"mmm")</f>
        <v>Jul</v>
      </c>
      <c r="R307" t="b">
        <f t="shared" si="4"/>
        <v>1</v>
      </c>
      <c r="T307" s="6">
        <f>Table1[[#This Row],[Profit]]/Table1[[#This Row],[Sales]]</f>
        <v>0.18954248366013071</v>
      </c>
    </row>
    <row r="308" spans="1:20" x14ac:dyDescent="0.3">
      <c r="A308" t="s">
        <v>403</v>
      </c>
      <c r="B308" s="17">
        <v>45744</v>
      </c>
      <c r="C308" t="s">
        <v>135</v>
      </c>
      <c r="D308" t="s">
        <v>136</v>
      </c>
      <c r="E308" t="s">
        <v>44</v>
      </c>
      <c r="F308" t="s">
        <v>34</v>
      </c>
      <c r="G308" t="s">
        <v>40</v>
      </c>
      <c r="H308" t="s">
        <v>61</v>
      </c>
      <c r="I308">
        <v>3</v>
      </c>
      <c r="J308">
        <v>8000</v>
      </c>
      <c r="K308">
        <v>0</v>
      </c>
      <c r="L308">
        <v>24000</v>
      </c>
      <c r="M308">
        <v>16800</v>
      </c>
      <c r="N308">
        <v>7200</v>
      </c>
      <c r="O308" t="s">
        <v>23</v>
      </c>
      <c r="P308" t="s">
        <v>24</v>
      </c>
      <c r="Q308" t="str">
        <f>TEXT(Table1[[#This Row],[Order_Date]],"mmm")</f>
        <v>Mar</v>
      </c>
      <c r="R308" t="b">
        <f t="shared" si="4"/>
        <v>1</v>
      </c>
      <c r="T308" s="6">
        <f>Table1[[#This Row],[Profit]]/Table1[[#This Row],[Sales]]</f>
        <v>0.3</v>
      </c>
    </row>
    <row r="309" spans="1:20" x14ac:dyDescent="0.3">
      <c r="A309" t="s">
        <v>404</v>
      </c>
      <c r="B309" s="17">
        <v>45880</v>
      </c>
      <c r="C309" t="s">
        <v>132</v>
      </c>
      <c r="D309" t="s">
        <v>133</v>
      </c>
      <c r="E309" t="s">
        <v>33</v>
      </c>
      <c r="F309" t="s">
        <v>34</v>
      </c>
      <c r="G309" t="s">
        <v>35</v>
      </c>
      <c r="H309" t="s">
        <v>69</v>
      </c>
      <c r="I309">
        <v>3</v>
      </c>
      <c r="J309">
        <v>7000</v>
      </c>
      <c r="K309">
        <v>0.05</v>
      </c>
      <c r="L309">
        <v>19950</v>
      </c>
      <c r="M309">
        <v>14400</v>
      </c>
      <c r="N309">
        <v>5550</v>
      </c>
      <c r="O309" t="s">
        <v>97</v>
      </c>
      <c r="P309" t="s">
        <v>24</v>
      </c>
      <c r="Q309" t="str">
        <f>TEXT(Table1[[#This Row],[Order_Date]],"mmm")</f>
        <v>Aug</v>
      </c>
      <c r="R309" t="b">
        <f t="shared" si="4"/>
        <v>1</v>
      </c>
      <c r="T309" s="6">
        <f>Table1[[#This Row],[Profit]]/Table1[[#This Row],[Sales]]</f>
        <v>0.2781954887218045</v>
      </c>
    </row>
    <row r="310" spans="1:20" x14ac:dyDescent="0.3">
      <c r="A310" t="s">
        <v>405</v>
      </c>
      <c r="B310" s="17">
        <v>45978</v>
      </c>
      <c r="C310" t="s">
        <v>90</v>
      </c>
      <c r="D310" t="s">
        <v>91</v>
      </c>
      <c r="E310" t="s">
        <v>85</v>
      </c>
      <c r="F310" t="s">
        <v>78</v>
      </c>
      <c r="G310" t="s">
        <v>21</v>
      </c>
      <c r="H310" t="s">
        <v>86</v>
      </c>
      <c r="I310">
        <v>5</v>
      </c>
      <c r="J310">
        <v>900</v>
      </c>
      <c r="K310">
        <v>0</v>
      </c>
      <c r="L310">
        <v>4500</v>
      </c>
      <c r="M310">
        <v>2500</v>
      </c>
      <c r="N310">
        <v>2000</v>
      </c>
      <c r="O310" t="s">
        <v>58</v>
      </c>
      <c r="P310" t="s">
        <v>42</v>
      </c>
      <c r="Q310" t="str">
        <f>TEXT(Table1[[#This Row],[Order_Date]],"mmm")</f>
        <v>Nov</v>
      </c>
      <c r="R310" t="b">
        <f t="shared" si="4"/>
        <v>1</v>
      </c>
      <c r="T310" s="6">
        <f>Table1[[#This Row],[Profit]]/Table1[[#This Row],[Sales]]</f>
        <v>0.44444444444444442</v>
      </c>
    </row>
    <row r="311" spans="1:20" x14ac:dyDescent="0.3">
      <c r="A311" t="s">
        <v>406</v>
      </c>
      <c r="B311" s="17">
        <v>45661</v>
      </c>
      <c r="C311" t="s">
        <v>122</v>
      </c>
      <c r="D311" t="s">
        <v>123</v>
      </c>
      <c r="E311" t="s">
        <v>38</v>
      </c>
      <c r="F311" t="s">
        <v>34</v>
      </c>
      <c r="G311" t="s">
        <v>35</v>
      </c>
      <c r="H311" t="s">
        <v>57</v>
      </c>
      <c r="I311">
        <v>5</v>
      </c>
      <c r="J311">
        <v>12000</v>
      </c>
      <c r="K311">
        <v>0.1</v>
      </c>
      <c r="L311">
        <v>54000</v>
      </c>
      <c r="M311">
        <v>42500</v>
      </c>
      <c r="N311">
        <v>11500</v>
      </c>
      <c r="O311" t="s">
        <v>97</v>
      </c>
      <c r="P311" t="s">
        <v>42</v>
      </c>
      <c r="Q311" t="str">
        <f>TEXT(Table1[[#This Row],[Order_Date]],"mmm")</f>
        <v>Jan</v>
      </c>
      <c r="R311" t="b">
        <f t="shared" si="4"/>
        <v>1</v>
      </c>
      <c r="T311" s="6">
        <f>Table1[[#This Row],[Profit]]/Table1[[#This Row],[Sales]]</f>
        <v>0.21296296296296297</v>
      </c>
    </row>
    <row r="312" spans="1:20" x14ac:dyDescent="0.3">
      <c r="A312" t="s">
        <v>407</v>
      </c>
      <c r="B312" s="17">
        <v>45991</v>
      </c>
      <c r="C312" t="s">
        <v>93</v>
      </c>
      <c r="D312" t="s">
        <v>94</v>
      </c>
      <c r="E312" t="s">
        <v>55</v>
      </c>
      <c r="F312" t="s">
        <v>20</v>
      </c>
      <c r="G312" t="s">
        <v>40</v>
      </c>
      <c r="H312" t="s">
        <v>45</v>
      </c>
      <c r="I312">
        <v>3</v>
      </c>
      <c r="J312">
        <v>2500</v>
      </c>
      <c r="K312">
        <v>0</v>
      </c>
      <c r="L312">
        <v>7500</v>
      </c>
      <c r="M312">
        <v>5100</v>
      </c>
      <c r="N312">
        <v>2400</v>
      </c>
      <c r="O312" t="s">
        <v>51</v>
      </c>
      <c r="P312" t="s">
        <v>42</v>
      </c>
      <c r="Q312" t="str">
        <f>TEXT(Table1[[#This Row],[Order_Date]],"mmm")</f>
        <v>Nov</v>
      </c>
      <c r="R312" t="b">
        <f t="shared" si="4"/>
        <v>1</v>
      </c>
      <c r="T312" s="6">
        <f>Table1[[#This Row],[Profit]]/Table1[[#This Row],[Sales]]</f>
        <v>0.32</v>
      </c>
    </row>
    <row r="313" spans="1:20" x14ac:dyDescent="0.3">
      <c r="A313" t="s">
        <v>408</v>
      </c>
      <c r="B313" s="17">
        <v>45748</v>
      </c>
      <c r="C313" t="s">
        <v>122</v>
      </c>
      <c r="D313" t="s">
        <v>123</v>
      </c>
      <c r="E313" t="s">
        <v>38</v>
      </c>
      <c r="F313" t="s">
        <v>34</v>
      </c>
      <c r="G313" t="s">
        <v>35</v>
      </c>
      <c r="H313" t="s">
        <v>36</v>
      </c>
      <c r="I313">
        <v>3</v>
      </c>
      <c r="J313">
        <v>12000</v>
      </c>
      <c r="K313">
        <v>0</v>
      </c>
      <c r="L313">
        <v>36000</v>
      </c>
      <c r="M313">
        <v>25500</v>
      </c>
      <c r="N313">
        <v>10500</v>
      </c>
      <c r="O313" t="s">
        <v>97</v>
      </c>
      <c r="P313" t="s">
        <v>42</v>
      </c>
      <c r="Q313" t="str">
        <f>TEXT(Table1[[#This Row],[Order_Date]],"mmm")</f>
        <v>Apr</v>
      </c>
      <c r="R313" t="b">
        <f t="shared" si="4"/>
        <v>1</v>
      </c>
      <c r="T313" s="6">
        <f>Table1[[#This Row],[Profit]]/Table1[[#This Row],[Sales]]</f>
        <v>0.29166666666666669</v>
      </c>
    </row>
    <row r="314" spans="1:20" x14ac:dyDescent="0.3">
      <c r="A314" t="s">
        <v>409</v>
      </c>
      <c r="B314" s="17">
        <v>45801</v>
      </c>
      <c r="C314" t="s">
        <v>122</v>
      </c>
      <c r="D314" t="s">
        <v>123</v>
      </c>
      <c r="E314" t="s">
        <v>38</v>
      </c>
      <c r="F314" t="s">
        <v>34</v>
      </c>
      <c r="G314" t="s">
        <v>21</v>
      </c>
      <c r="H314" t="s">
        <v>95</v>
      </c>
      <c r="I314">
        <v>1</v>
      </c>
      <c r="J314">
        <v>12000</v>
      </c>
      <c r="K314">
        <v>0.15</v>
      </c>
      <c r="L314">
        <v>10200</v>
      </c>
      <c r="M314">
        <v>8500</v>
      </c>
      <c r="N314">
        <v>1700</v>
      </c>
      <c r="O314" t="s">
        <v>58</v>
      </c>
      <c r="P314" t="s">
        <v>24</v>
      </c>
      <c r="Q314" t="str">
        <f>TEXT(Table1[[#This Row],[Order_Date]],"mmm")</f>
        <v>May</v>
      </c>
      <c r="R314" t="b">
        <f t="shared" si="4"/>
        <v>1</v>
      </c>
      <c r="T314" s="6">
        <f>Table1[[#This Row],[Profit]]/Table1[[#This Row],[Sales]]</f>
        <v>0.16666666666666666</v>
      </c>
    </row>
    <row r="315" spans="1:20" x14ac:dyDescent="0.3">
      <c r="A315" t="s">
        <v>410</v>
      </c>
      <c r="B315" s="17">
        <v>45894</v>
      </c>
      <c r="C315" t="s">
        <v>207</v>
      </c>
      <c r="D315" t="s">
        <v>208</v>
      </c>
      <c r="E315" t="s">
        <v>80</v>
      </c>
      <c r="F315" t="s">
        <v>81</v>
      </c>
      <c r="G315" t="s">
        <v>28</v>
      </c>
      <c r="H315" t="s">
        <v>73</v>
      </c>
      <c r="I315">
        <v>3</v>
      </c>
      <c r="J315">
        <v>1800</v>
      </c>
      <c r="K315">
        <v>0.1</v>
      </c>
      <c r="L315">
        <v>4860</v>
      </c>
      <c r="M315">
        <v>3300</v>
      </c>
      <c r="N315">
        <v>1560</v>
      </c>
      <c r="O315" t="s">
        <v>58</v>
      </c>
      <c r="P315" t="s">
        <v>42</v>
      </c>
      <c r="Q315" t="str">
        <f>TEXT(Table1[[#This Row],[Order_Date]],"mmm")</f>
        <v>Aug</v>
      </c>
      <c r="R315" t="b">
        <f t="shared" si="4"/>
        <v>1</v>
      </c>
      <c r="T315" s="6">
        <f>Table1[[#This Row],[Profit]]/Table1[[#This Row],[Sales]]</f>
        <v>0.32098765432098764</v>
      </c>
    </row>
    <row r="316" spans="1:20" x14ac:dyDescent="0.3">
      <c r="A316" t="s">
        <v>411</v>
      </c>
      <c r="B316" s="17">
        <v>45781</v>
      </c>
      <c r="C316" t="s">
        <v>132</v>
      </c>
      <c r="D316" t="s">
        <v>133</v>
      </c>
      <c r="E316" t="s">
        <v>77</v>
      </c>
      <c r="F316" t="s">
        <v>78</v>
      </c>
      <c r="G316" t="s">
        <v>35</v>
      </c>
      <c r="H316" t="s">
        <v>57</v>
      </c>
      <c r="I316">
        <v>2</v>
      </c>
      <c r="J316">
        <v>1800</v>
      </c>
      <c r="K316">
        <v>0</v>
      </c>
      <c r="L316">
        <v>3600</v>
      </c>
      <c r="M316">
        <v>2200</v>
      </c>
      <c r="N316">
        <v>1400</v>
      </c>
      <c r="O316" t="s">
        <v>51</v>
      </c>
      <c r="P316" t="s">
        <v>42</v>
      </c>
      <c r="Q316" t="str">
        <f>TEXT(Table1[[#This Row],[Order_Date]],"mmm")</f>
        <v>May</v>
      </c>
      <c r="R316" t="b">
        <f t="shared" si="4"/>
        <v>1</v>
      </c>
      <c r="T316" s="6">
        <f>Table1[[#This Row],[Profit]]/Table1[[#This Row],[Sales]]</f>
        <v>0.3888888888888889</v>
      </c>
    </row>
    <row r="317" spans="1:20" x14ac:dyDescent="0.3">
      <c r="A317" t="s">
        <v>412</v>
      </c>
      <c r="B317" s="17">
        <v>45956</v>
      </c>
      <c r="C317" t="s">
        <v>122</v>
      </c>
      <c r="D317" t="s">
        <v>123</v>
      </c>
      <c r="E317" t="s">
        <v>116</v>
      </c>
      <c r="F317" t="s">
        <v>78</v>
      </c>
      <c r="G317" t="s">
        <v>35</v>
      </c>
      <c r="H317" t="s">
        <v>36</v>
      </c>
      <c r="I317">
        <v>5</v>
      </c>
      <c r="J317">
        <v>3000</v>
      </c>
      <c r="K317">
        <v>0</v>
      </c>
      <c r="L317">
        <v>15000</v>
      </c>
      <c r="M317">
        <v>9500</v>
      </c>
      <c r="N317">
        <v>5500</v>
      </c>
      <c r="O317" t="s">
        <v>97</v>
      </c>
      <c r="P317" t="s">
        <v>24</v>
      </c>
      <c r="Q317" t="str">
        <f>TEXT(Table1[[#This Row],[Order_Date]],"mmm")</f>
        <v>Oct</v>
      </c>
      <c r="R317" t="b">
        <f t="shared" si="4"/>
        <v>1</v>
      </c>
      <c r="T317" s="6">
        <f>Table1[[#This Row],[Profit]]/Table1[[#This Row],[Sales]]</f>
        <v>0.36666666666666664</v>
      </c>
    </row>
    <row r="318" spans="1:20" x14ac:dyDescent="0.3">
      <c r="A318" t="s">
        <v>413</v>
      </c>
      <c r="B318" s="17">
        <v>45713</v>
      </c>
      <c r="C318" t="s">
        <v>47</v>
      </c>
      <c r="D318" t="s">
        <v>48</v>
      </c>
      <c r="E318" t="s">
        <v>77</v>
      </c>
      <c r="F318" t="s">
        <v>78</v>
      </c>
      <c r="G318" t="s">
        <v>21</v>
      </c>
      <c r="H318" t="s">
        <v>95</v>
      </c>
      <c r="I318">
        <v>3</v>
      </c>
      <c r="J318">
        <v>1800</v>
      </c>
      <c r="K318">
        <v>0.15</v>
      </c>
      <c r="L318">
        <v>4590</v>
      </c>
      <c r="M318">
        <v>3300</v>
      </c>
      <c r="N318">
        <v>1290</v>
      </c>
      <c r="O318" t="s">
        <v>23</v>
      </c>
      <c r="P318" t="s">
        <v>42</v>
      </c>
      <c r="Q318" t="str">
        <f>TEXT(Table1[[#This Row],[Order_Date]],"mmm")</f>
        <v>Feb</v>
      </c>
      <c r="R318" t="b">
        <f t="shared" si="4"/>
        <v>1</v>
      </c>
      <c r="T318" s="6">
        <f>Table1[[#This Row],[Profit]]/Table1[[#This Row],[Sales]]</f>
        <v>0.28104575163398693</v>
      </c>
    </row>
    <row r="319" spans="1:20" x14ac:dyDescent="0.3">
      <c r="A319" t="s">
        <v>414</v>
      </c>
      <c r="B319" s="17">
        <v>45827</v>
      </c>
      <c r="C319" t="s">
        <v>26</v>
      </c>
      <c r="D319" t="s">
        <v>27</v>
      </c>
      <c r="E319" t="s">
        <v>88</v>
      </c>
      <c r="F319" t="s">
        <v>20</v>
      </c>
      <c r="G319" t="s">
        <v>28</v>
      </c>
      <c r="H319" t="s">
        <v>73</v>
      </c>
      <c r="I319">
        <v>1</v>
      </c>
      <c r="J319">
        <v>25000</v>
      </c>
      <c r="K319">
        <v>0</v>
      </c>
      <c r="L319">
        <v>25000</v>
      </c>
      <c r="M319">
        <v>20500</v>
      </c>
      <c r="N319">
        <v>4500</v>
      </c>
      <c r="O319" t="s">
        <v>58</v>
      </c>
      <c r="P319" t="s">
        <v>42</v>
      </c>
      <c r="Q319" t="str">
        <f>TEXT(Table1[[#This Row],[Order_Date]],"mmm")</f>
        <v>Jun</v>
      </c>
      <c r="R319" t="b">
        <f t="shared" si="4"/>
        <v>1</v>
      </c>
      <c r="T319" s="6">
        <f>Table1[[#This Row],[Profit]]/Table1[[#This Row],[Sales]]</f>
        <v>0.18</v>
      </c>
    </row>
    <row r="320" spans="1:20" x14ac:dyDescent="0.3">
      <c r="A320" t="s">
        <v>415</v>
      </c>
      <c r="B320" s="17">
        <v>45849</v>
      </c>
      <c r="C320" t="s">
        <v>122</v>
      </c>
      <c r="D320" t="s">
        <v>123</v>
      </c>
      <c r="E320" t="s">
        <v>80</v>
      </c>
      <c r="F320" t="s">
        <v>81</v>
      </c>
      <c r="G320" t="s">
        <v>21</v>
      </c>
      <c r="H320" t="s">
        <v>86</v>
      </c>
      <c r="I320">
        <v>5</v>
      </c>
      <c r="J320">
        <v>1800</v>
      </c>
      <c r="K320">
        <v>0</v>
      </c>
      <c r="L320">
        <v>9000</v>
      </c>
      <c r="M320">
        <v>5500</v>
      </c>
      <c r="N320">
        <v>3500</v>
      </c>
      <c r="O320" t="s">
        <v>51</v>
      </c>
      <c r="P320" t="s">
        <v>24</v>
      </c>
      <c r="Q320" t="str">
        <f>TEXT(Table1[[#This Row],[Order_Date]],"mmm")</f>
        <v>Jul</v>
      </c>
      <c r="R320" t="b">
        <f t="shared" si="4"/>
        <v>1</v>
      </c>
      <c r="T320" s="6">
        <f>Table1[[#This Row],[Profit]]/Table1[[#This Row],[Sales]]</f>
        <v>0.3888888888888889</v>
      </c>
    </row>
    <row r="321" spans="1:20" x14ac:dyDescent="0.3">
      <c r="A321" t="s">
        <v>416</v>
      </c>
      <c r="B321" s="17">
        <v>45809</v>
      </c>
      <c r="C321" t="s">
        <v>26</v>
      </c>
      <c r="D321" t="s">
        <v>27</v>
      </c>
      <c r="E321" t="s">
        <v>88</v>
      </c>
      <c r="F321" t="s">
        <v>20</v>
      </c>
      <c r="G321" t="s">
        <v>21</v>
      </c>
      <c r="H321" t="s">
        <v>86</v>
      </c>
      <c r="I321">
        <v>1</v>
      </c>
      <c r="J321">
        <v>25000</v>
      </c>
      <c r="K321">
        <v>0.05</v>
      </c>
      <c r="L321">
        <v>23750</v>
      </c>
      <c r="M321">
        <v>20500</v>
      </c>
      <c r="N321">
        <v>3250</v>
      </c>
      <c r="O321" t="s">
        <v>97</v>
      </c>
      <c r="P321" t="s">
        <v>42</v>
      </c>
      <c r="Q321" t="str">
        <f>TEXT(Table1[[#This Row],[Order_Date]],"mmm")</f>
        <v>Jun</v>
      </c>
      <c r="R321" t="b">
        <f t="shared" si="4"/>
        <v>1</v>
      </c>
      <c r="T321" s="6">
        <f>Table1[[#This Row],[Profit]]/Table1[[#This Row],[Sales]]</f>
        <v>0.1368421052631579</v>
      </c>
    </row>
    <row r="322" spans="1:20" x14ac:dyDescent="0.3">
      <c r="A322" t="s">
        <v>417</v>
      </c>
      <c r="B322" s="17">
        <v>45763</v>
      </c>
      <c r="C322" t="s">
        <v>83</v>
      </c>
      <c r="D322" t="s">
        <v>84</v>
      </c>
      <c r="E322" t="s">
        <v>80</v>
      </c>
      <c r="F322" t="s">
        <v>81</v>
      </c>
      <c r="G322" t="s">
        <v>35</v>
      </c>
      <c r="H322" t="s">
        <v>69</v>
      </c>
      <c r="I322">
        <v>3</v>
      </c>
      <c r="J322">
        <v>1800</v>
      </c>
      <c r="K322">
        <v>0.1</v>
      </c>
      <c r="L322">
        <v>4860</v>
      </c>
      <c r="M322">
        <v>3300</v>
      </c>
      <c r="N322">
        <v>1560</v>
      </c>
      <c r="O322" t="s">
        <v>51</v>
      </c>
      <c r="P322" t="s">
        <v>42</v>
      </c>
      <c r="Q322" t="str">
        <f>TEXT(Table1[[#This Row],[Order_Date]],"mmm")</f>
        <v>Apr</v>
      </c>
      <c r="R322" t="b">
        <f t="shared" ref="R322:R385" si="5">ISNUMBER(B322)</f>
        <v>1</v>
      </c>
      <c r="T322" s="6">
        <f>Table1[[#This Row],[Profit]]/Table1[[#This Row],[Sales]]</f>
        <v>0.32098765432098764</v>
      </c>
    </row>
    <row r="323" spans="1:20" x14ac:dyDescent="0.3">
      <c r="A323" t="s">
        <v>418</v>
      </c>
      <c r="B323" s="17">
        <v>45692</v>
      </c>
      <c r="C323" t="s">
        <v>128</v>
      </c>
      <c r="D323" t="s">
        <v>129</v>
      </c>
      <c r="E323" t="s">
        <v>19</v>
      </c>
      <c r="F323" t="s">
        <v>20</v>
      </c>
      <c r="G323" t="s">
        <v>28</v>
      </c>
      <c r="H323" t="s">
        <v>73</v>
      </c>
      <c r="I323">
        <v>1</v>
      </c>
      <c r="J323">
        <v>55000</v>
      </c>
      <c r="K323">
        <v>0</v>
      </c>
      <c r="L323">
        <v>55000</v>
      </c>
      <c r="M323">
        <v>45000</v>
      </c>
      <c r="N323">
        <v>10000</v>
      </c>
      <c r="O323" t="s">
        <v>58</v>
      </c>
      <c r="P323" t="s">
        <v>24</v>
      </c>
      <c r="Q323" t="str">
        <f>TEXT(Table1[[#This Row],[Order_Date]],"mmm")</f>
        <v>Feb</v>
      </c>
      <c r="R323" t="b">
        <f t="shared" si="5"/>
        <v>1</v>
      </c>
      <c r="T323" s="6">
        <f>Table1[[#This Row],[Profit]]/Table1[[#This Row],[Sales]]</f>
        <v>0.18181818181818182</v>
      </c>
    </row>
    <row r="324" spans="1:20" x14ac:dyDescent="0.3">
      <c r="A324" t="s">
        <v>419</v>
      </c>
      <c r="B324" s="17">
        <v>45922</v>
      </c>
      <c r="C324" t="s">
        <v>71</v>
      </c>
      <c r="D324" t="s">
        <v>72</v>
      </c>
      <c r="E324" t="s">
        <v>116</v>
      </c>
      <c r="F324" t="s">
        <v>78</v>
      </c>
      <c r="G324" t="s">
        <v>40</v>
      </c>
      <c r="H324" t="s">
        <v>45</v>
      </c>
      <c r="I324">
        <v>2</v>
      </c>
      <c r="J324">
        <v>3000</v>
      </c>
      <c r="K324">
        <v>0.1</v>
      </c>
      <c r="L324">
        <v>5400</v>
      </c>
      <c r="M324">
        <v>3800</v>
      </c>
      <c r="N324">
        <v>1600</v>
      </c>
      <c r="O324" t="s">
        <v>51</v>
      </c>
      <c r="P324" t="s">
        <v>24</v>
      </c>
      <c r="Q324" t="str">
        <f>TEXT(Table1[[#This Row],[Order_Date]],"mmm")</f>
        <v>Sep</v>
      </c>
      <c r="R324" t="b">
        <f t="shared" si="5"/>
        <v>1</v>
      </c>
      <c r="T324" s="6">
        <f>Table1[[#This Row],[Profit]]/Table1[[#This Row],[Sales]]</f>
        <v>0.29629629629629628</v>
      </c>
    </row>
    <row r="325" spans="1:20" x14ac:dyDescent="0.3">
      <c r="A325" t="s">
        <v>420</v>
      </c>
      <c r="B325" s="17">
        <v>45865</v>
      </c>
      <c r="C325" t="s">
        <v>71</v>
      </c>
      <c r="D325" t="s">
        <v>72</v>
      </c>
      <c r="E325" t="s">
        <v>55</v>
      </c>
      <c r="F325" t="s">
        <v>20</v>
      </c>
      <c r="G325" t="s">
        <v>35</v>
      </c>
      <c r="H325" t="s">
        <v>69</v>
      </c>
      <c r="I325">
        <v>4</v>
      </c>
      <c r="J325">
        <v>2500</v>
      </c>
      <c r="K325">
        <v>0.15</v>
      </c>
      <c r="L325">
        <v>8500</v>
      </c>
      <c r="M325">
        <v>6800</v>
      </c>
      <c r="N325">
        <v>1700</v>
      </c>
      <c r="O325" t="s">
        <v>58</v>
      </c>
      <c r="P325" t="s">
        <v>42</v>
      </c>
      <c r="Q325" t="str">
        <f>TEXT(Table1[[#This Row],[Order_Date]],"mmm")</f>
        <v>Jul</v>
      </c>
      <c r="R325" t="b">
        <f t="shared" si="5"/>
        <v>1</v>
      </c>
      <c r="T325" s="6">
        <f>Table1[[#This Row],[Profit]]/Table1[[#This Row],[Sales]]</f>
        <v>0.2</v>
      </c>
    </row>
    <row r="326" spans="1:20" x14ac:dyDescent="0.3">
      <c r="A326" t="s">
        <v>421</v>
      </c>
      <c r="B326" s="17">
        <v>45961</v>
      </c>
      <c r="C326" t="s">
        <v>26</v>
      </c>
      <c r="D326" t="s">
        <v>27</v>
      </c>
      <c r="E326" t="s">
        <v>33</v>
      </c>
      <c r="F326" t="s">
        <v>34</v>
      </c>
      <c r="G326" t="s">
        <v>21</v>
      </c>
      <c r="H326" t="s">
        <v>22</v>
      </c>
      <c r="I326">
        <v>1</v>
      </c>
      <c r="J326">
        <v>7000</v>
      </c>
      <c r="K326">
        <v>0.05</v>
      </c>
      <c r="L326">
        <v>6650</v>
      </c>
      <c r="M326">
        <v>4800</v>
      </c>
      <c r="N326">
        <v>1850</v>
      </c>
      <c r="O326" t="s">
        <v>23</v>
      </c>
      <c r="P326" t="s">
        <v>24</v>
      </c>
      <c r="Q326" t="str">
        <f>TEXT(Table1[[#This Row],[Order_Date]],"mmm")</f>
        <v>Oct</v>
      </c>
      <c r="R326" t="b">
        <f t="shared" si="5"/>
        <v>1</v>
      </c>
      <c r="T326" s="6">
        <f>Table1[[#This Row],[Profit]]/Table1[[#This Row],[Sales]]</f>
        <v>0.2781954887218045</v>
      </c>
    </row>
    <row r="327" spans="1:20" x14ac:dyDescent="0.3">
      <c r="A327" t="s">
        <v>422</v>
      </c>
      <c r="B327" s="17">
        <v>45932</v>
      </c>
      <c r="C327" t="s">
        <v>71</v>
      </c>
      <c r="D327" t="s">
        <v>72</v>
      </c>
      <c r="E327" t="s">
        <v>38</v>
      </c>
      <c r="F327" t="s">
        <v>34</v>
      </c>
      <c r="G327" t="s">
        <v>21</v>
      </c>
      <c r="H327" t="s">
        <v>86</v>
      </c>
      <c r="I327">
        <v>3</v>
      </c>
      <c r="J327">
        <v>12000</v>
      </c>
      <c r="K327">
        <v>0</v>
      </c>
      <c r="L327">
        <v>36000</v>
      </c>
      <c r="M327">
        <v>25500</v>
      </c>
      <c r="N327">
        <v>10500</v>
      </c>
      <c r="O327" t="s">
        <v>97</v>
      </c>
      <c r="P327" t="s">
        <v>42</v>
      </c>
      <c r="Q327" t="str">
        <f>TEXT(Table1[[#This Row],[Order_Date]],"mmm")</f>
        <v>Oct</v>
      </c>
      <c r="R327" t="b">
        <f t="shared" si="5"/>
        <v>1</v>
      </c>
      <c r="T327" s="6">
        <f>Table1[[#This Row],[Profit]]/Table1[[#This Row],[Sales]]</f>
        <v>0.29166666666666669</v>
      </c>
    </row>
    <row r="328" spans="1:20" x14ac:dyDescent="0.3">
      <c r="A328" t="s">
        <v>423</v>
      </c>
      <c r="B328" s="17">
        <v>45928</v>
      </c>
      <c r="C328" t="s">
        <v>63</v>
      </c>
      <c r="D328" t="s">
        <v>64</v>
      </c>
      <c r="E328" t="s">
        <v>85</v>
      </c>
      <c r="F328" t="s">
        <v>78</v>
      </c>
      <c r="G328" t="s">
        <v>35</v>
      </c>
      <c r="H328" t="s">
        <v>36</v>
      </c>
      <c r="I328">
        <v>4</v>
      </c>
      <c r="J328">
        <v>900</v>
      </c>
      <c r="K328">
        <v>0</v>
      </c>
      <c r="L328">
        <v>3600</v>
      </c>
      <c r="M328">
        <v>2000</v>
      </c>
      <c r="N328">
        <v>1600</v>
      </c>
      <c r="O328" t="s">
        <v>97</v>
      </c>
      <c r="P328" t="s">
        <v>42</v>
      </c>
      <c r="Q328" t="str">
        <f>TEXT(Table1[[#This Row],[Order_Date]],"mmm")</f>
        <v>Sep</v>
      </c>
      <c r="R328" t="b">
        <f t="shared" si="5"/>
        <v>1</v>
      </c>
      <c r="T328" s="6">
        <f>Table1[[#This Row],[Profit]]/Table1[[#This Row],[Sales]]</f>
        <v>0.44444444444444442</v>
      </c>
    </row>
    <row r="329" spans="1:20" x14ac:dyDescent="0.3">
      <c r="A329" t="s">
        <v>424</v>
      </c>
      <c r="B329" s="17">
        <v>45892</v>
      </c>
      <c r="C329" t="s">
        <v>93</v>
      </c>
      <c r="D329" t="s">
        <v>94</v>
      </c>
      <c r="E329" t="s">
        <v>55</v>
      </c>
      <c r="F329" t="s">
        <v>20</v>
      </c>
      <c r="G329" t="s">
        <v>28</v>
      </c>
      <c r="H329" t="s">
        <v>102</v>
      </c>
      <c r="I329">
        <v>3</v>
      </c>
      <c r="J329">
        <v>2500</v>
      </c>
      <c r="K329">
        <v>0</v>
      </c>
      <c r="L329">
        <v>7500</v>
      </c>
      <c r="M329">
        <v>5100</v>
      </c>
      <c r="N329">
        <v>2400</v>
      </c>
      <c r="O329" t="s">
        <v>97</v>
      </c>
      <c r="P329" t="s">
        <v>24</v>
      </c>
      <c r="Q329" t="str">
        <f>TEXT(Table1[[#This Row],[Order_Date]],"mmm")</f>
        <v>Aug</v>
      </c>
      <c r="R329" t="b">
        <f t="shared" si="5"/>
        <v>1</v>
      </c>
      <c r="T329" s="6">
        <f>Table1[[#This Row],[Profit]]/Table1[[#This Row],[Sales]]</f>
        <v>0.32</v>
      </c>
    </row>
    <row r="330" spans="1:20" x14ac:dyDescent="0.3">
      <c r="A330" t="s">
        <v>425</v>
      </c>
      <c r="B330" s="17">
        <v>45780</v>
      </c>
      <c r="C330" t="s">
        <v>128</v>
      </c>
      <c r="D330" t="s">
        <v>129</v>
      </c>
      <c r="E330" t="s">
        <v>88</v>
      </c>
      <c r="F330" t="s">
        <v>20</v>
      </c>
      <c r="G330" t="s">
        <v>40</v>
      </c>
      <c r="H330" t="s">
        <v>45</v>
      </c>
      <c r="I330">
        <v>2</v>
      </c>
      <c r="J330">
        <v>25000</v>
      </c>
      <c r="K330">
        <v>0</v>
      </c>
      <c r="L330">
        <v>50000</v>
      </c>
      <c r="M330">
        <v>41000</v>
      </c>
      <c r="N330">
        <v>9000</v>
      </c>
      <c r="O330" t="s">
        <v>51</v>
      </c>
      <c r="P330" t="s">
        <v>42</v>
      </c>
      <c r="Q330" t="str">
        <f>TEXT(Table1[[#This Row],[Order_Date]],"mmm")</f>
        <v>May</v>
      </c>
      <c r="R330" t="b">
        <f t="shared" si="5"/>
        <v>1</v>
      </c>
      <c r="T330" s="6">
        <f>Table1[[#This Row],[Profit]]/Table1[[#This Row],[Sales]]</f>
        <v>0.18</v>
      </c>
    </row>
    <row r="331" spans="1:20" x14ac:dyDescent="0.3">
      <c r="A331" t="s">
        <v>426</v>
      </c>
      <c r="B331" s="17">
        <v>45963</v>
      </c>
      <c r="C331" t="s">
        <v>135</v>
      </c>
      <c r="D331" t="s">
        <v>136</v>
      </c>
      <c r="E331" t="s">
        <v>85</v>
      </c>
      <c r="F331" t="s">
        <v>78</v>
      </c>
      <c r="G331" t="s">
        <v>35</v>
      </c>
      <c r="H331" t="s">
        <v>69</v>
      </c>
      <c r="I331">
        <v>4</v>
      </c>
      <c r="J331">
        <v>900</v>
      </c>
      <c r="K331">
        <v>0.1</v>
      </c>
      <c r="L331">
        <v>3240</v>
      </c>
      <c r="M331">
        <v>2000</v>
      </c>
      <c r="N331">
        <v>1240</v>
      </c>
      <c r="O331" t="s">
        <v>58</v>
      </c>
      <c r="P331" t="s">
        <v>24</v>
      </c>
      <c r="Q331" t="str">
        <f>TEXT(Table1[[#This Row],[Order_Date]],"mmm")</f>
        <v>Nov</v>
      </c>
      <c r="R331" t="b">
        <f t="shared" si="5"/>
        <v>1</v>
      </c>
      <c r="T331" s="6">
        <f>Table1[[#This Row],[Profit]]/Table1[[#This Row],[Sales]]</f>
        <v>0.38271604938271603</v>
      </c>
    </row>
    <row r="332" spans="1:20" x14ac:dyDescent="0.3">
      <c r="A332" t="s">
        <v>427</v>
      </c>
      <c r="B332" s="17">
        <v>45908</v>
      </c>
      <c r="C332" t="s">
        <v>128</v>
      </c>
      <c r="D332" t="s">
        <v>129</v>
      </c>
      <c r="E332" t="s">
        <v>55</v>
      </c>
      <c r="F332" t="s">
        <v>20</v>
      </c>
      <c r="G332" t="s">
        <v>40</v>
      </c>
      <c r="H332" t="s">
        <v>61</v>
      </c>
      <c r="I332">
        <v>2</v>
      </c>
      <c r="J332">
        <v>2500</v>
      </c>
      <c r="K332">
        <v>0.15</v>
      </c>
      <c r="L332">
        <v>4250</v>
      </c>
      <c r="M332">
        <v>3400</v>
      </c>
      <c r="N332">
        <v>850</v>
      </c>
      <c r="O332" t="s">
        <v>23</v>
      </c>
      <c r="P332" t="s">
        <v>42</v>
      </c>
      <c r="Q332" t="str">
        <f>TEXT(Table1[[#This Row],[Order_Date]],"mmm")</f>
        <v>Sep</v>
      </c>
      <c r="R332" t="b">
        <f t="shared" si="5"/>
        <v>1</v>
      </c>
      <c r="T332" s="6">
        <f>Table1[[#This Row],[Profit]]/Table1[[#This Row],[Sales]]</f>
        <v>0.2</v>
      </c>
    </row>
    <row r="333" spans="1:20" x14ac:dyDescent="0.3">
      <c r="A333" t="s">
        <v>428</v>
      </c>
      <c r="B333" s="17">
        <v>45662</v>
      </c>
      <c r="C333" t="s">
        <v>90</v>
      </c>
      <c r="D333" t="s">
        <v>91</v>
      </c>
      <c r="E333" t="s">
        <v>55</v>
      </c>
      <c r="F333" t="s">
        <v>20</v>
      </c>
      <c r="G333" t="s">
        <v>35</v>
      </c>
      <c r="H333" t="s">
        <v>36</v>
      </c>
      <c r="I333">
        <v>2</v>
      </c>
      <c r="J333">
        <v>2500</v>
      </c>
      <c r="K333">
        <v>0.15</v>
      </c>
      <c r="L333">
        <v>4250</v>
      </c>
      <c r="M333">
        <v>3400</v>
      </c>
      <c r="N333">
        <v>850</v>
      </c>
      <c r="O333" t="s">
        <v>51</v>
      </c>
      <c r="P333" t="s">
        <v>42</v>
      </c>
      <c r="Q333" t="str">
        <f>TEXT(Table1[[#This Row],[Order_Date]],"mmm")</f>
        <v>Jan</v>
      </c>
      <c r="R333" t="b">
        <f t="shared" si="5"/>
        <v>1</v>
      </c>
      <c r="T333" s="6">
        <f>Table1[[#This Row],[Profit]]/Table1[[#This Row],[Sales]]</f>
        <v>0.2</v>
      </c>
    </row>
    <row r="334" spans="1:20" x14ac:dyDescent="0.3">
      <c r="A334" t="s">
        <v>429</v>
      </c>
      <c r="B334" s="17">
        <v>46008</v>
      </c>
      <c r="C334" t="s">
        <v>90</v>
      </c>
      <c r="D334" t="s">
        <v>91</v>
      </c>
      <c r="E334" t="s">
        <v>33</v>
      </c>
      <c r="F334" t="s">
        <v>34</v>
      </c>
      <c r="G334" t="s">
        <v>35</v>
      </c>
      <c r="H334" t="s">
        <v>69</v>
      </c>
      <c r="I334">
        <v>4</v>
      </c>
      <c r="J334">
        <v>7000</v>
      </c>
      <c r="K334">
        <v>0</v>
      </c>
      <c r="L334">
        <v>28000</v>
      </c>
      <c r="M334">
        <v>19200</v>
      </c>
      <c r="N334">
        <v>8800</v>
      </c>
      <c r="O334" t="s">
        <v>23</v>
      </c>
      <c r="P334" t="s">
        <v>24</v>
      </c>
      <c r="Q334" t="str">
        <f>TEXT(Table1[[#This Row],[Order_Date]],"mmm")</f>
        <v>Dec</v>
      </c>
      <c r="R334" t="b">
        <f t="shared" si="5"/>
        <v>1</v>
      </c>
      <c r="T334" s="6">
        <f>Table1[[#This Row],[Profit]]/Table1[[#This Row],[Sales]]</f>
        <v>0.31428571428571428</v>
      </c>
    </row>
    <row r="335" spans="1:20" x14ac:dyDescent="0.3">
      <c r="A335" t="s">
        <v>430</v>
      </c>
      <c r="B335" s="17">
        <v>45807</v>
      </c>
      <c r="C335" t="s">
        <v>100</v>
      </c>
      <c r="D335" t="s">
        <v>101</v>
      </c>
      <c r="E335" t="s">
        <v>44</v>
      </c>
      <c r="F335" t="s">
        <v>34</v>
      </c>
      <c r="G335" t="s">
        <v>40</v>
      </c>
      <c r="H335" t="s">
        <v>41</v>
      </c>
      <c r="I335">
        <v>2</v>
      </c>
      <c r="J335">
        <v>8000</v>
      </c>
      <c r="K335">
        <v>0.1</v>
      </c>
      <c r="L335">
        <v>14400</v>
      </c>
      <c r="M335">
        <v>11200</v>
      </c>
      <c r="N335">
        <v>3200</v>
      </c>
      <c r="O335" t="s">
        <v>51</v>
      </c>
      <c r="P335" t="s">
        <v>24</v>
      </c>
      <c r="Q335" t="str">
        <f>TEXT(Table1[[#This Row],[Order_Date]],"mmm")</f>
        <v>May</v>
      </c>
      <c r="R335" t="b">
        <f t="shared" si="5"/>
        <v>1</v>
      </c>
      <c r="T335" s="6">
        <f>Table1[[#This Row],[Profit]]/Table1[[#This Row],[Sales]]</f>
        <v>0.22222222222222221</v>
      </c>
    </row>
    <row r="336" spans="1:20" x14ac:dyDescent="0.3">
      <c r="A336" t="s">
        <v>431</v>
      </c>
      <c r="B336" s="17">
        <v>45951</v>
      </c>
      <c r="C336" t="s">
        <v>17</v>
      </c>
      <c r="D336" t="s">
        <v>18</v>
      </c>
      <c r="E336" t="s">
        <v>44</v>
      </c>
      <c r="F336" t="s">
        <v>34</v>
      </c>
      <c r="G336" t="s">
        <v>40</v>
      </c>
      <c r="H336" t="s">
        <v>45</v>
      </c>
      <c r="I336">
        <v>5</v>
      </c>
      <c r="J336">
        <v>8000</v>
      </c>
      <c r="K336">
        <v>0</v>
      </c>
      <c r="L336">
        <v>40000</v>
      </c>
      <c r="M336">
        <v>28000</v>
      </c>
      <c r="N336">
        <v>12000</v>
      </c>
      <c r="O336" t="s">
        <v>51</v>
      </c>
      <c r="P336" t="s">
        <v>24</v>
      </c>
      <c r="Q336" t="str">
        <f>TEXT(Table1[[#This Row],[Order_Date]],"mmm")</f>
        <v>Oct</v>
      </c>
      <c r="R336" t="b">
        <f t="shared" si="5"/>
        <v>1</v>
      </c>
      <c r="T336" s="6">
        <f>Table1[[#This Row],[Profit]]/Table1[[#This Row],[Sales]]</f>
        <v>0.3</v>
      </c>
    </row>
    <row r="337" spans="1:20" x14ac:dyDescent="0.3">
      <c r="A337" t="s">
        <v>432</v>
      </c>
      <c r="B337" s="17">
        <v>45875</v>
      </c>
      <c r="C337" t="s">
        <v>17</v>
      </c>
      <c r="D337" t="s">
        <v>18</v>
      </c>
      <c r="E337" t="s">
        <v>67</v>
      </c>
      <c r="F337" t="s">
        <v>50</v>
      </c>
      <c r="G337" t="s">
        <v>40</v>
      </c>
      <c r="H337" t="s">
        <v>41</v>
      </c>
      <c r="I337">
        <v>2</v>
      </c>
      <c r="J337">
        <v>4500</v>
      </c>
      <c r="K337">
        <v>0.1</v>
      </c>
      <c r="L337">
        <v>8100</v>
      </c>
      <c r="M337">
        <v>6200</v>
      </c>
      <c r="N337">
        <v>1900</v>
      </c>
      <c r="O337" t="s">
        <v>97</v>
      </c>
      <c r="P337" t="s">
        <v>42</v>
      </c>
      <c r="Q337" t="str">
        <f>TEXT(Table1[[#This Row],[Order_Date]],"mmm")</f>
        <v>Aug</v>
      </c>
      <c r="R337" t="b">
        <f t="shared" si="5"/>
        <v>1</v>
      </c>
      <c r="T337" s="6">
        <f>Table1[[#This Row],[Profit]]/Table1[[#This Row],[Sales]]</f>
        <v>0.23456790123456789</v>
      </c>
    </row>
    <row r="338" spans="1:20" x14ac:dyDescent="0.3">
      <c r="A338" t="s">
        <v>433</v>
      </c>
      <c r="B338" s="17">
        <v>45702</v>
      </c>
      <c r="C338" t="s">
        <v>107</v>
      </c>
      <c r="D338" t="s">
        <v>108</v>
      </c>
      <c r="E338" t="s">
        <v>60</v>
      </c>
      <c r="F338" t="s">
        <v>50</v>
      </c>
      <c r="G338" t="s">
        <v>21</v>
      </c>
      <c r="H338" t="s">
        <v>22</v>
      </c>
      <c r="I338">
        <v>1</v>
      </c>
      <c r="J338">
        <v>6000</v>
      </c>
      <c r="K338">
        <v>0.15</v>
      </c>
      <c r="L338">
        <v>5100</v>
      </c>
      <c r="M338">
        <v>4200</v>
      </c>
      <c r="N338">
        <v>900</v>
      </c>
      <c r="O338" t="s">
        <v>97</v>
      </c>
      <c r="P338" t="s">
        <v>42</v>
      </c>
      <c r="Q338" t="str">
        <f>TEXT(Table1[[#This Row],[Order_Date]],"mmm")</f>
        <v>Feb</v>
      </c>
      <c r="R338" t="b">
        <f t="shared" si="5"/>
        <v>1</v>
      </c>
      <c r="T338" s="6">
        <f>Table1[[#This Row],[Profit]]/Table1[[#This Row],[Sales]]</f>
        <v>0.17647058823529413</v>
      </c>
    </row>
    <row r="339" spans="1:20" x14ac:dyDescent="0.3">
      <c r="A339" t="s">
        <v>434</v>
      </c>
      <c r="B339" s="17">
        <v>45742</v>
      </c>
      <c r="C339" t="s">
        <v>93</v>
      </c>
      <c r="D339" t="s">
        <v>94</v>
      </c>
      <c r="E339" t="s">
        <v>55</v>
      </c>
      <c r="F339" t="s">
        <v>20</v>
      </c>
      <c r="G339" t="s">
        <v>21</v>
      </c>
      <c r="H339" t="s">
        <v>22</v>
      </c>
      <c r="I339">
        <v>2</v>
      </c>
      <c r="J339">
        <v>2500</v>
      </c>
      <c r="K339">
        <v>0.15</v>
      </c>
      <c r="L339">
        <v>4250</v>
      </c>
      <c r="M339">
        <v>3400</v>
      </c>
      <c r="N339">
        <v>850</v>
      </c>
      <c r="O339" t="s">
        <v>97</v>
      </c>
      <c r="P339" t="s">
        <v>42</v>
      </c>
      <c r="Q339" t="str">
        <f>TEXT(Table1[[#This Row],[Order_Date]],"mmm")</f>
        <v>Mar</v>
      </c>
      <c r="R339" t="b">
        <f t="shared" si="5"/>
        <v>1</v>
      </c>
      <c r="T339" s="6">
        <f>Table1[[#This Row],[Profit]]/Table1[[#This Row],[Sales]]</f>
        <v>0.2</v>
      </c>
    </row>
    <row r="340" spans="1:20" x14ac:dyDescent="0.3">
      <c r="A340" t="s">
        <v>435</v>
      </c>
      <c r="B340" s="17">
        <v>45963</v>
      </c>
      <c r="C340" t="s">
        <v>31</v>
      </c>
      <c r="D340" t="s">
        <v>32</v>
      </c>
      <c r="E340" t="s">
        <v>55</v>
      </c>
      <c r="F340" t="s">
        <v>20</v>
      </c>
      <c r="G340" t="s">
        <v>40</v>
      </c>
      <c r="H340" t="s">
        <v>61</v>
      </c>
      <c r="I340">
        <v>3</v>
      </c>
      <c r="J340">
        <v>2500</v>
      </c>
      <c r="K340">
        <v>0.15</v>
      </c>
      <c r="L340">
        <v>6375</v>
      </c>
      <c r="M340">
        <v>5100</v>
      </c>
      <c r="N340">
        <v>1275</v>
      </c>
      <c r="O340" t="s">
        <v>97</v>
      </c>
      <c r="P340" t="s">
        <v>24</v>
      </c>
      <c r="Q340" t="str">
        <f>TEXT(Table1[[#This Row],[Order_Date]],"mmm")</f>
        <v>Nov</v>
      </c>
      <c r="R340" t="b">
        <f t="shared" si="5"/>
        <v>1</v>
      </c>
      <c r="T340" s="6">
        <f>Table1[[#This Row],[Profit]]/Table1[[#This Row],[Sales]]</f>
        <v>0.2</v>
      </c>
    </row>
    <row r="341" spans="1:20" x14ac:dyDescent="0.3">
      <c r="A341" t="s">
        <v>436</v>
      </c>
      <c r="B341" s="17">
        <v>45727</v>
      </c>
      <c r="C341" t="s">
        <v>26</v>
      </c>
      <c r="D341" t="s">
        <v>27</v>
      </c>
      <c r="E341" t="s">
        <v>19</v>
      </c>
      <c r="F341" t="s">
        <v>20</v>
      </c>
      <c r="G341" t="s">
        <v>21</v>
      </c>
      <c r="H341" t="s">
        <v>95</v>
      </c>
      <c r="I341">
        <v>3</v>
      </c>
      <c r="J341">
        <v>55000</v>
      </c>
      <c r="K341">
        <v>0</v>
      </c>
      <c r="L341">
        <v>165000</v>
      </c>
      <c r="M341">
        <v>135000</v>
      </c>
      <c r="N341">
        <v>30000</v>
      </c>
      <c r="O341" t="s">
        <v>58</v>
      </c>
      <c r="P341" t="s">
        <v>24</v>
      </c>
      <c r="Q341" t="str">
        <f>TEXT(Table1[[#This Row],[Order_Date]],"mmm")</f>
        <v>Mar</v>
      </c>
      <c r="R341" t="b">
        <f t="shared" si="5"/>
        <v>1</v>
      </c>
      <c r="T341" s="6">
        <f>Table1[[#This Row],[Profit]]/Table1[[#This Row],[Sales]]</f>
        <v>0.18181818181818182</v>
      </c>
    </row>
    <row r="342" spans="1:20" x14ac:dyDescent="0.3">
      <c r="A342" t="s">
        <v>437</v>
      </c>
      <c r="B342" s="17">
        <v>46022</v>
      </c>
      <c r="C342" t="s">
        <v>63</v>
      </c>
      <c r="D342" t="s">
        <v>64</v>
      </c>
      <c r="E342" t="s">
        <v>60</v>
      </c>
      <c r="F342" t="s">
        <v>50</v>
      </c>
      <c r="G342" t="s">
        <v>35</v>
      </c>
      <c r="H342" t="s">
        <v>57</v>
      </c>
      <c r="I342">
        <v>2</v>
      </c>
      <c r="J342">
        <v>6000</v>
      </c>
      <c r="K342">
        <v>0</v>
      </c>
      <c r="L342">
        <v>12000</v>
      </c>
      <c r="M342">
        <v>8400</v>
      </c>
      <c r="N342">
        <v>3600</v>
      </c>
      <c r="O342" t="s">
        <v>97</v>
      </c>
      <c r="P342" t="s">
        <v>42</v>
      </c>
      <c r="Q342" t="str">
        <f>TEXT(Table1[[#This Row],[Order_Date]],"mmm")</f>
        <v>Dec</v>
      </c>
      <c r="R342" t="b">
        <f t="shared" si="5"/>
        <v>1</v>
      </c>
      <c r="T342" s="6">
        <f>Table1[[#This Row],[Profit]]/Table1[[#This Row],[Sales]]</f>
        <v>0.3</v>
      </c>
    </row>
    <row r="343" spans="1:20" x14ac:dyDescent="0.3">
      <c r="A343" t="s">
        <v>438</v>
      </c>
      <c r="B343" s="17">
        <v>45850</v>
      </c>
      <c r="C343" t="s">
        <v>107</v>
      </c>
      <c r="D343" t="s">
        <v>108</v>
      </c>
      <c r="E343" t="s">
        <v>88</v>
      </c>
      <c r="F343" t="s">
        <v>20</v>
      </c>
      <c r="G343" t="s">
        <v>35</v>
      </c>
      <c r="H343" t="s">
        <v>36</v>
      </c>
      <c r="I343">
        <v>1</v>
      </c>
      <c r="J343">
        <v>25000</v>
      </c>
      <c r="K343">
        <v>0.05</v>
      </c>
      <c r="L343">
        <v>23750</v>
      </c>
      <c r="M343">
        <v>20500</v>
      </c>
      <c r="N343">
        <v>3250</v>
      </c>
      <c r="O343" t="s">
        <v>97</v>
      </c>
      <c r="P343" t="s">
        <v>42</v>
      </c>
      <c r="Q343" t="str">
        <f>TEXT(Table1[[#This Row],[Order_Date]],"mmm")</f>
        <v>Jul</v>
      </c>
      <c r="R343" t="b">
        <f t="shared" si="5"/>
        <v>1</v>
      </c>
      <c r="T343" s="6">
        <f>Table1[[#This Row],[Profit]]/Table1[[#This Row],[Sales]]</f>
        <v>0.1368421052631579</v>
      </c>
    </row>
    <row r="344" spans="1:20" x14ac:dyDescent="0.3">
      <c r="A344" t="s">
        <v>439</v>
      </c>
      <c r="B344" s="17">
        <v>45907</v>
      </c>
      <c r="C344" t="s">
        <v>63</v>
      </c>
      <c r="D344" t="s">
        <v>64</v>
      </c>
      <c r="E344" t="s">
        <v>85</v>
      </c>
      <c r="F344" t="s">
        <v>78</v>
      </c>
      <c r="G344" t="s">
        <v>28</v>
      </c>
      <c r="H344" t="s">
        <v>102</v>
      </c>
      <c r="I344">
        <v>1</v>
      </c>
      <c r="J344">
        <v>900</v>
      </c>
      <c r="K344">
        <v>0.1</v>
      </c>
      <c r="L344">
        <v>810</v>
      </c>
      <c r="M344">
        <v>500</v>
      </c>
      <c r="N344">
        <v>310</v>
      </c>
      <c r="O344" t="s">
        <v>97</v>
      </c>
      <c r="P344" t="s">
        <v>24</v>
      </c>
      <c r="Q344" t="str">
        <f>TEXT(Table1[[#This Row],[Order_Date]],"mmm")</f>
        <v>Sep</v>
      </c>
      <c r="R344" t="b">
        <f t="shared" si="5"/>
        <v>1</v>
      </c>
      <c r="T344" s="6">
        <f>Table1[[#This Row],[Profit]]/Table1[[#This Row],[Sales]]</f>
        <v>0.38271604938271603</v>
      </c>
    </row>
    <row r="345" spans="1:20" x14ac:dyDescent="0.3">
      <c r="A345" t="s">
        <v>440</v>
      </c>
      <c r="B345" s="17">
        <v>45931</v>
      </c>
      <c r="C345" t="s">
        <v>122</v>
      </c>
      <c r="D345" t="s">
        <v>123</v>
      </c>
      <c r="E345" t="s">
        <v>65</v>
      </c>
      <c r="F345" t="s">
        <v>20</v>
      </c>
      <c r="G345" t="s">
        <v>21</v>
      </c>
      <c r="H345" t="s">
        <v>86</v>
      </c>
      <c r="I345">
        <v>4</v>
      </c>
      <c r="J345">
        <v>5000</v>
      </c>
      <c r="K345">
        <v>0.05</v>
      </c>
      <c r="L345">
        <v>19000</v>
      </c>
      <c r="M345">
        <v>14000</v>
      </c>
      <c r="N345">
        <v>5000</v>
      </c>
      <c r="O345" t="s">
        <v>97</v>
      </c>
      <c r="P345" t="s">
        <v>42</v>
      </c>
      <c r="Q345" t="str">
        <f>TEXT(Table1[[#This Row],[Order_Date]],"mmm")</f>
        <v>Oct</v>
      </c>
      <c r="R345" t="b">
        <f t="shared" si="5"/>
        <v>1</v>
      </c>
      <c r="T345" s="6">
        <f>Table1[[#This Row],[Profit]]/Table1[[#This Row],[Sales]]</f>
        <v>0.26315789473684209</v>
      </c>
    </row>
    <row r="346" spans="1:20" x14ac:dyDescent="0.3">
      <c r="A346" t="s">
        <v>441</v>
      </c>
      <c r="B346" s="17">
        <v>45830</v>
      </c>
      <c r="C346" t="s">
        <v>31</v>
      </c>
      <c r="D346" t="s">
        <v>32</v>
      </c>
      <c r="E346" t="s">
        <v>85</v>
      </c>
      <c r="F346" t="s">
        <v>78</v>
      </c>
      <c r="G346" t="s">
        <v>35</v>
      </c>
      <c r="H346" t="s">
        <v>57</v>
      </c>
      <c r="I346">
        <v>2</v>
      </c>
      <c r="J346">
        <v>900</v>
      </c>
      <c r="K346">
        <v>0</v>
      </c>
      <c r="L346">
        <v>1800</v>
      </c>
      <c r="M346">
        <v>1000</v>
      </c>
      <c r="N346">
        <v>800</v>
      </c>
      <c r="O346" t="s">
        <v>23</v>
      </c>
      <c r="P346" t="s">
        <v>24</v>
      </c>
      <c r="Q346" t="str">
        <f>TEXT(Table1[[#This Row],[Order_Date]],"mmm")</f>
        <v>Jun</v>
      </c>
      <c r="R346" t="b">
        <f t="shared" si="5"/>
        <v>1</v>
      </c>
      <c r="T346" s="6">
        <f>Table1[[#This Row],[Profit]]/Table1[[#This Row],[Sales]]</f>
        <v>0.44444444444444442</v>
      </c>
    </row>
    <row r="347" spans="1:20" x14ac:dyDescent="0.3">
      <c r="A347" t="s">
        <v>442</v>
      </c>
      <c r="B347" s="17">
        <v>45978</v>
      </c>
      <c r="C347" t="s">
        <v>107</v>
      </c>
      <c r="D347" t="s">
        <v>108</v>
      </c>
      <c r="E347" t="s">
        <v>19</v>
      </c>
      <c r="F347" t="s">
        <v>20</v>
      </c>
      <c r="G347" t="s">
        <v>21</v>
      </c>
      <c r="H347" t="s">
        <v>86</v>
      </c>
      <c r="I347">
        <v>1</v>
      </c>
      <c r="J347">
        <v>55000</v>
      </c>
      <c r="K347">
        <v>0.1</v>
      </c>
      <c r="L347">
        <v>49500</v>
      </c>
      <c r="M347">
        <v>45000</v>
      </c>
      <c r="N347">
        <v>4500</v>
      </c>
      <c r="O347" t="s">
        <v>23</v>
      </c>
      <c r="P347" t="s">
        <v>42</v>
      </c>
      <c r="Q347" t="str">
        <f>TEXT(Table1[[#This Row],[Order_Date]],"mmm")</f>
        <v>Nov</v>
      </c>
      <c r="R347" t="b">
        <f t="shared" si="5"/>
        <v>1</v>
      </c>
      <c r="T347" s="6">
        <f>Table1[[#This Row],[Profit]]/Table1[[#This Row],[Sales]]</f>
        <v>9.0909090909090912E-2</v>
      </c>
    </row>
    <row r="348" spans="1:20" x14ac:dyDescent="0.3">
      <c r="A348" t="s">
        <v>443</v>
      </c>
      <c r="B348" s="17">
        <v>45761</v>
      </c>
      <c r="C348" t="s">
        <v>135</v>
      </c>
      <c r="D348" t="s">
        <v>136</v>
      </c>
      <c r="E348" t="s">
        <v>77</v>
      </c>
      <c r="F348" t="s">
        <v>78</v>
      </c>
      <c r="G348" t="s">
        <v>21</v>
      </c>
      <c r="H348" t="s">
        <v>86</v>
      </c>
      <c r="I348">
        <v>3</v>
      </c>
      <c r="J348">
        <v>1800</v>
      </c>
      <c r="K348">
        <v>0</v>
      </c>
      <c r="L348">
        <v>5400</v>
      </c>
      <c r="M348">
        <v>3300</v>
      </c>
      <c r="N348">
        <v>2100</v>
      </c>
      <c r="O348" t="s">
        <v>97</v>
      </c>
      <c r="P348" t="s">
        <v>42</v>
      </c>
      <c r="Q348" t="str">
        <f>TEXT(Table1[[#This Row],[Order_Date]],"mmm")</f>
        <v>Apr</v>
      </c>
      <c r="R348" t="b">
        <f t="shared" si="5"/>
        <v>1</v>
      </c>
      <c r="T348" s="6">
        <f>Table1[[#This Row],[Profit]]/Table1[[#This Row],[Sales]]</f>
        <v>0.3888888888888889</v>
      </c>
    </row>
    <row r="349" spans="1:20" x14ac:dyDescent="0.3">
      <c r="A349" t="s">
        <v>444</v>
      </c>
      <c r="B349" s="17">
        <v>45700</v>
      </c>
      <c r="C349" t="s">
        <v>53</v>
      </c>
      <c r="D349" t="s">
        <v>54</v>
      </c>
      <c r="E349" t="s">
        <v>77</v>
      </c>
      <c r="F349" t="s">
        <v>78</v>
      </c>
      <c r="G349" t="s">
        <v>28</v>
      </c>
      <c r="H349" t="s">
        <v>73</v>
      </c>
      <c r="I349">
        <v>2</v>
      </c>
      <c r="J349">
        <v>1800</v>
      </c>
      <c r="K349">
        <v>0.05</v>
      </c>
      <c r="L349">
        <v>3420</v>
      </c>
      <c r="M349">
        <v>2200</v>
      </c>
      <c r="N349">
        <v>1220</v>
      </c>
      <c r="O349" t="s">
        <v>58</v>
      </c>
      <c r="P349" t="s">
        <v>42</v>
      </c>
      <c r="Q349" t="str">
        <f>TEXT(Table1[[#This Row],[Order_Date]],"mmm")</f>
        <v>Feb</v>
      </c>
      <c r="R349" t="b">
        <f t="shared" si="5"/>
        <v>1</v>
      </c>
      <c r="T349" s="6">
        <f>Table1[[#This Row],[Profit]]/Table1[[#This Row],[Sales]]</f>
        <v>0.35672514619883039</v>
      </c>
    </row>
    <row r="350" spans="1:20" x14ac:dyDescent="0.3">
      <c r="A350" t="s">
        <v>445</v>
      </c>
      <c r="B350" s="17">
        <v>45993</v>
      </c>
      <c r="C350" t="s">
        <v>119</v>
      </c>
      <c r="D350" t="s">
        <v>120</v>
      </c>
      <c r="E350" t="s">
        <v>67</v>
      </c>
      <c r="F350" t="s">
        <v>50</v>
      </c>
      <c r="G350" t="s">
        <v>28</v>
      </c>
      <c r="H350" t="s">
        <v>29</v>
      </c>
      <c r="I350">
        <v>1</v>
      </c>
      <c r="J350">
        <v>4500</v>
      </c>
      <c r="K350">
        <v>0.1</v>
      </c>
      <c r="L350">
        <v>4050</v>
      </c>
      <c r="M350">
        <v>3100</v>
      </c>
      <c r="N350">
        <v>950</v>
      </c>
      <c r="O350" t="s">
        <v>23</v>
      </c>
      <c r="P350" t="s">
        <v>24</v>
      </c>
      <c r="Q350" t="str">
        <f>TEXT(Table1[[#This Row],[Order_Date]],"mmm")</f>
        <v>Dec</v>
      </c>
      <c r="R350" t="b">
        <f t="shared" si="5"/>
        <v>1</v>
      </c>
      <c r="T350" s="6">
        <f>Table1[[#This Row],[Profit]]/Table1[[#This Row],[Sales]]</f>
        <v>0.23456790123456789</v>
      </c>
    </row>
    <row r="351" spans="1:20" x14ac:dyDescent="0.3">
      <c r="A351" t="s">
        <v>446</v>
      </c>
      <c r="B351" s="17">
        <v>45961</v>
      </c>
      <c r="C351" t="s">
        <v>47</v>
      </c>
      <c r="D351" t="s">
        <v>48</v>
      </c>
      <c r="E351" t="s">
        <v>116</v>
      </c>
      <c r="F351" t="s">
        <v>78</v>
      </c>
      <c r="G351" t="s">
        <v>28</v>
      </c>
      <c r="H351" t="s">
        <v>29</v>
      </c>
      <c r="I351">
        <v>4</v>
      </c>
      <c r="J351">
        <v>3000</v>
      </c>
      <c r="K351">
        <v>0.05</v>
      </c>
      <c r="L351">
        <v>11400</v>
      </c>
      <c r="M351">
        <v>7600</v>
      </c>
      <c r="N351">
        <v>3800</v>
      </c>
      <c r="O351" t="s">
        <v>23</v>
      </c>
      <c r="P351" t="s">
        <v>42</v>
      </c>
      <c r="Q351" t="str">
        <f>TEXT(Table1[[#This Row],[Order_Date]],"mmm")</f>
        <v>Oct</v>
      </c>
      <c r="R351" t="b">
        <f t="shared" si="5"/>
        <v>1</v>
      </c>
      <c r="T351" s="6">
        <f>Table1[[#This Row],[Profit]]/Table1[[#This Row],[Sales]]</f>
        <v>0.33333333333333331</v>
      </c>
    </row>
    <row r="352" spans="1:20" x14ac:dyDescent="0.3">
      <c r="A352" t="s">
        <v>447</v>
      </c>
      <c r="B352" s="17">
        <v>46013</v>
      </c>
      <c r="C352" t="s">
        <v>135</v>
      </c>
      <c r="D352" t="s">
        <v>136</v>
      </c>
      <c r="E352" t="s">
        <v>80</v>
      </c>
      <c r="F352" t="s">
        <v>81</v>
      </c>
      <c r="G352" t="s">
        <v>21</v>
      </c>
      <c r="H352" t="s">
        <v>86</v>
      </c>
      <c r="I352">
        <v>1</v>
      </c>
      <c r="J352">
        <v>1800</v>
      </c>
      <c r="K352">
        <v>0</v>
      </c>
      <c r="L352">
        <v>1800</v>
      </c>
      <c r="M352">
        <v>1100</v>
      </c>
      <c r="N352">
        <v>700</v>
      </c>
      <c r="O352" t="s">
        <v>23</v>
      </c>
      <c r="P352" t="s">
        <v>24</v>
      </c>
      <c r="Q352" t="str">
        <f>TEXT(Table1[[#This Row],[Order_Date]],"mmm")</f>
        <v>Dec</v>
      </c>
      <c r="R352" t="b">
        <f t="shared" si="5"/>
        <v>1</v>
      </c>
      <c r="T352" s="6">
        <f>Table1[[#This Row],[Profit]]/Table1[[#This Row],[Sales]]</f>
        <v>0.3888888888888889</v>
      </c>
    </row>
    <row r="353" spans="1:20" x14ac:dyDescent="0.3">
      <c r="A353" t="s">
        <v>448</v>
      </c>
      <c r="B353" s="17">
        <v>45818</v>
      </c>
      <c r="C353" t="s">
        <v>53</v>
      </c>
      <c r="D353" t="s">
        <v>54</v>
      </c>
      <c r="E353" t="s">
        <v>44</v>
      </c>
      <c r="F353" t="s">
        <v>34</v>
      </c>
      <c r="G353" t="s">
        <v>35</v>
      </c>
      <c r="H353" t="s">
        <v>69</v>
      </c>
      <c r="I353">
        <v>2</v>
      </c>
      <c r="J353">
        <v>8000</v>
      </c>
      <c r="K353">
        <v>0</v>
      </c>
      <c r="L353">
        <v>16000</v>
      </c>
      <c r="M353">
        <v>11200</v>
      </c>
      <c r="N353">
        <v>4800</v>
      </c>
      <c r="O353" t="s">
        <v>23</v>
      </c>
      <c r="P353" t="s">
        <v>24</v>
      </c>
      <c r="Q353" t="str">
        <f>TEXT(Table1[[#This Row],[Order_Date]],"mmm")</f>
        <v>Jun</v>
      </c>
      <c r="R353" t="b">
        <f t="shared" si="5"/>
        <v>1</v>
      </c>
      <c r="T353" s="6">
        <f>Table1[[#This Row],[Profit]]/Table1[[#This Row],[Sales]]</f>
        <v>0.3</v>
      </c>
    </row>
    <row r="354" spans="1:20" x14ac:dyDescent="0.3">
      <c r="A354" t="s">
        <v>449</v>
      </c>
      <c r="B354" s="17">
        <v>45970</v>
      </c>
      <c r="C354" t="s">
        <v>71</v>
      </c>
      <c r="D354" t="s">
        <v>72</v>
      </c>
      <c r="E354" t="s">
        <v>80</v>
      </c>
      <c r="F354" t="s">
        <v>81</v>
      </c>
      <c r="G354" t="s">
        <v>21</v>
      </c>
      <c r="H354" t="s">
        <v>95</v>
      </c>
      <c r="I354">
        <v>3</v>
      </c>
      <c r="J354">
        <v>1800</v>
      </c>
      <c r="K354">
        <v>0</v>
      </c>
      <c r="L354">
        <v>5400</v>
      </c>
      <c r="M354">
        <v>3300</v>
      </c>
      <c r="N354">
        <v>2100</v>
      </c>
      <c r="O354" t="s">
        <v>51</v>
      </c>
      <c r="P354" t="s">
        <v>42</v>
      </c>
      <c r="Q354" t="str">
        <f>TEXT(Table1[[#This Row],[Order_Date]],"mmm")</f>
        <v>Nov</v>
      </c>
      <c r="R354" t="b">
        <f t="shared" si="5"/>
        <v>1</v>
      </c>
      <c r="T354" s="6">
        <f>Table1[[#This Row],[Profit]]/Table1[[#This Row],[Sales]]</f>
        <v>0.3888888888888889</v>
      </c>
    </row>
    <row r="355" spans="1:20" x14ac:dyDescent="0.3">
      <c r="A355" t="s">
        <v>450</v>
      </c>
      <c r="B355" s="17">
        <v>45769</v>
      </c>
      <c r="C355" t="s">
        <v>119</v>
      </c>
      <c r="D355" t="s">
        <v>120</v>
      </c>
      <c r="E355" t="s">
        <v>88</v>
      </c>
      <c r="F355" t="s">
        <v>20</v>
      </c>
      <c r="G355" t="s">
        <v>28</v>
      </c>
      <c r="H355" t="s">
        <v>102</v>
      </c>
      <c r="I355">
        <v>2</v>
      </c>
      <c r="J355">
        <v>25000</v>
      </c>
      <c r="K355">
        <v>0.1</v>
      </c>
      <c r="L355">
        <v>45000</v>
      </c>
      <c r="M355">
        <v>41000</v>
      </c>
      <c r="N355">
        <v>4000</v>
      </c>
      <c r="O355" t="s">
        <v>97</v>
      </c>
      <c r="P355" t="s">
        <v>42</v>
      </c>
      <c r="Q355" t="str">
        <f>TEXT(Table1[[#This Row],[Order_Date]],"mmm")</f>
        <v>Apr</v>
      </c>
      <c r="R355" t="b">
        <f t="shared" si="5"/>
        <v>1</v>
      </c>
      <c r="T355" s="6">
        <f>Table1[[#This Row],[Profit]]/Table1[[#This Row],[Sales]]</f>
        <v>8.8888888888888892E-2</v>
      </c>
    </row>
    <row r="356" spans="1:20" x14ac:dyDescent="0.3">
      <c r="A356" t="s">
        <v>451</v>
      </c>
      <c r="B356" s="17">
        <v>45819</v>
      </c>
      <c r="C356" t="s">
        <v>135</v>
      </c>
      <c r="D356" t="s">
        <v>136</v>
      </c>
      <c r="E356" t="s">
        <v>65</v>
      </c>
      <c r="F356" t="s">
        <v>20</v>
      </c>
      <c r="G356" t="s">
        <v>28</v>
      </c>
      <c r="H356" t="s">
        <v>29</v>
      </c>
      <c r="I356">
        <v>3</v>
      </c>
      <c r="J356">
        <v>5000</v>
      </c>
      <c r="K356">
        <v>0.15</v>
      </c>
      <c r="L356">
        <v>12750</v>
      </c>
      <c r="M356">
        <v>10500</v>
      </c>
      <c r="N356">
        <v>2250</v>
      </c>
      <c r="O356" t="s">
        <v>97</v>
      </c>
      <c r="P356" t="s">
        <v>24</v>
      </c>
      <c r="Q356" t="str">
        <f>TEXT(Table1[[#This Row],[Order_Date]],"mmm")</f>
        <v>Jun</v>
      </c>
      <c r="R356" t="b">
        <f t="shared" si="5"/>
        <v>1</v>
      </c>
      <c r="T356" s="6">
        <f>Table1[[#This Row],[Profit]]/Table1[[#This Row],[Sales]]</f>
        <v>0.17647058823529413</v>
      </c>
    </row>
    <row r="357" spans="1:20" x14ac:dyDescent="0.3">
      <c r="A357" t="s">
        <v>452</v>
      </c>
      <c r="B357" s="17">
        <v>45995</v>
      </c>
      <c r="C357" t="s">
        <v>128</v>
      </c>
      <c r="D357" t="s">
        <v>129</v>
      </c>
      <c r="E357" t="s">
        <v>65</v>
      </c>
      <c r="F357" t="s">
        <v>20</v>
      </c>
      <c r="G357" t="s">
        <v>21</v>
      </c>
      <c r="H357" t="s">
        <v>95</v>
      </c>
      <c r="I357">
        <v>5</v>
      </c>
      <c r="J357">
        <v>5000</v>
      </c>
      <c r="K357">
        <v>0.1</v>
      </c>
      <c r="L357">
        <v>22500</v>
      </c>
      <c r="M357">
        <v>17500</v>
      </c>
      <c r="N357">
        <v>5000</v>
      </c>
      <c r="O357" t="s">
        <v>97</v>
      </c>
      <c r="P357" t="s">
        <v>24</v>
      </c>
      <c r="Q357" t="str">
        <f>TEXT(Table1[[#This Row],[Order_Date]],"mmm")</f>
        <v>Dec</v>
      </c>
      <c r="R357" t="b">
        <f t="shared" si="5"/>
        <v>1</v>
      </c>
      <c r="T357" s="6">
        <f>Table1[[#This Row],[Profit]]/Table1[[#This Row],[Sales]]</f>
        <v>0.22222222222222221</v>
      </c>
    </row>
    <row r="358" spans="1:20" x14ac:dyDescent="0.3">
      <c r="A358" t="s">
        <v>453</v>
      </c>
      <c r="B358" s="17">
        <v>45780</v>
      </c>
      <c r="C358" t="s">
        <v>90</v>
      </c>
      <c r="D358" t="s">
        <v>91</v>
      </c>
      <c r="E358" t="s">
        <v>33</v>
      </c>
      <c r="F358" t="s">
        <v>34</v>
      </c>
      <c r="G358" t="s">
        <v>21</v>
      </c>
      <c r="H358" t="s">
        <v>86</v>
      </c>
      <c r="I358">
        <v>1</v>
      </c>
      <c r="J358">
        <v>7000</v>
      </c>
      <c r="K358">
        <v>0.15</v>
      </c>
      <c r="L358">
        <v>5950</v>
      </c>
      <c r="M358">
        <v>4800</v>
      </c>
      <c r="N358">
        <v>1150</v>
      </c>
      <c r="O358" t="s">
        <v>23</v>
      </c>
      <c r="P358" t="s">
        <v>24</v>
      </c>
      <c r="Q358" t="str">
        <f>TEXT(Table1[[#This Row],[Order_Date]],"mmm")</f>
        <v>May</v>
      </c>
      <c r="R358" t="b">
        <f t="shared" si="5"/>
        <v>1</v>
      </c>
      <c r="T358" s="6">
        <f>Table1[[#This Row],[Profit]]/Table1[[#This Row],[Sales]]</f>
        <v>0.19327731092436976</v>
      </c>
    </row>
    <row r="359" spans="1:20" x14ac:dyDescent="0.3">
      <c r="A359" t="s">
        <v>454</v>
      </c>
      <c r="B359" s="17">
        <v>45842</v>
      </c>
      <c r="C359" t="s">
        <v>63</v>
      </c>
      <c r="D359" t="s">
        <v>64</v>
      </c>
      <c r="E359" t="s">
        <v>55</v>
      </c>
      <c r="F359" t="s">
        <v>20</v>
      </c>
      <c r="G359" t="s">
        <v>35</v>
      </c>
      <c r="H359" t="s">
        <v>57</v>
      </c>
      <c r="I359">
        <v>4</v>
      </c>
      <c r="J359">
        <v>2500</v>
      </c>
      <c r="K359">
        <v>0.15</v>
      </c>
      <c r="L359">
        <v>8500</v>
      </c>
      <c r="M359">
        <v>6800</v>
      </c>
      <c r="N359">
        <v>1700</v>
      </c>
      <c r="O359" t="s">
        <v>58</v>
      </c>
      <c r="P359" t="s">
        <v>42</v>
      </c>
      <c r="Q359" t="str">
        <f>TEXT(Table1[[#This Row],[Order_Date]],"mmm")</f>
        <v>Jul</v>
      </c>
      <c r="R359" t="b">
        <f t="shared" si="5"/>
        <v>1</v>
      </c>
      <c r="T359" s="6">
        <f>Table1[[#This Row],[Profit]]/Table1[[#This Row],[Sales]]</f>
        <v>0.2</v>
      </c>
    </row>
    <row r="360" spans="1:20" x14ac:dyDescent="0.3">
      <c r="A360" t="s">
        <v>455</v>
      </c>
      <c r="B360" s="17">
        <v>45695</v>
      </c>
      <c r="C360" t="s">
        <v>75</v>
      </c>
      <c r="D360" t="s">
        <v>76</v>
      </c>
      <c r="E360" t="s">
        <v>85</v>
      </c>
      <c r="F360" t="s">
        <v>78</v>
      </c>
      <c r="G360" t="s">
        <v>28</v>
      </c>
      <c r="H360" t="s">
        <v>73</v>
      </c>
      <c r="I360">
        <v>1</v>
      </c>
      <c r="J360">
        <v>900</v>
      </c>
      <c r="K360">
        <v>0</v>
      </c>
      <c r="L360">
        <v>900</v>
      </c>
      <c r="M360">
        <v>500</v>
      </c>
      <c r="N360">
        <v>400</v>
      </c>
      <c r="O360" t="s">
        <v>23</v>
      </c>
      <c r="P360" t="s">
        <v>24</v>
      </c>
      <c r="Q360" t="str">
        <f>TEXT(Table1[[#This Row],[Order_Date]],"mmm")</f>
        <v>Feb</v>
      </c>
      <c r="R360" t="b">
        <f t="shared" si="5"/>
        <v>1</v>
      </c>
      <c r="T360" s="6">
        <f>Table1[[#This Row],[Profit]]/Table1[[#This Row],[Sales]]</f>
        <v>0.44444444444444442</v>
      </c>
    </row>
    <row r="361" spans="1:20" x14ac:dyDescent="0.3">
      <c r="A361" t="s">
        <v>456</v>
      </c>
      <c r="B361" s="17">
        <v>45861</v>
      </c>
      <c r="C361" t="s">
        <v>83</v>
      </c>
      <c r="D361" t="s">
        <v>84</v>
      </c>
      <c r="E361" t="s">
        <v>44</v>
      </c>
      <c r="F361" t="s">
        <v>34</v>
      </c>
      <c r="G361" t="s">
        <v>35</v>
      </c>
      <c r="H361" t="s">
        <v>57</v>
      </c>
      <c r="I361">
        <v>5</v>
      </c>
      <c r="J361">
        <v>8000</v>
      </c>
      <c r="K361">
        <v>0.1</v>
      </c>
      <c r="L361">
        <v>36000</v>
      </c>
      <c r="M361">
        <v>28000</v>
      </c>
      <c r="N361">
        <v>8000</v>
      </c>
      <c r="O361" t="s">
        <v>23</v>
      </c>
      <c r="P361" t="s">
        <v>24</v>
      </c>
      <c r="Q361" t="str">
        <f>TEXT(Table1[[#This Row],[Order_Date]],"mmm")</f>
        <v>Jul</v>
      </c>
      <c r="R361" t="b">
        <f t="shared" si="5"/>
        <v>1</v>
      </c>
      <c r="T361" s="6">
        <f>Table1[[#This Row],[Profit]]/Table1[[#This Row],[Sales]]</f>
        <v>0.22222222222222221</v>
      </c>
    </row>
    <row r="362" spans="1:20" x14ac:dyDescent="0.3">
      <c r="A362" t="s">
        <v>457</v>
      </c>
      <c r="B362" s="17">
        <v>45800</v>
      </c>
      <c r="C362" t="s">
        <v>119</v>
      </c>
      <c r="D362" t="s">
        <v>120</v>
      </c>
      <c r="E362" t="s">
        <v>44</v>
      </c>
      <c r="F362" t="s">
        <v>34</v>
      </c>
      <c r="G362" t="s">
        <v>21</v>
      </c>
      <c r="H362" t="s">
        <v>22</v>
      </c>
      <c r="I362">
        <v>1</v>
      </c>
      <c r="J362">
        <v>8000</v>
      </c>
      <c r="K362">
        <v>0.15</v>
      </c>
      <c r="L362">
        <v>6800</v>
      </c>
      <c r="M362">
        <v>5600</v>
      </c>
      <c r="N362">
        <v>1200</v>
      </c>
      <c r="O362" t="s">
        <v>97</v>
      </c>
      <c r="P362" t="s">
        <v>42</v>
      </c>
      <c r="Q362" t="str">
        <f>TEXT(Table1[[#This Row],[Order_Date]],"mmm")</f>
        <v>May</v>
      </c>
      <c r="R362" t="b">
        <f t="shared" si="5"/>
        <v>1</v>
      </c>
      <c r="T362" s="6">
        <f>Table1[[#This Row],[Profit]]/Table1[[#This Row],[Sales]]</f>
        <v>0.17647058823529413</v>
      </c>
    </row>
    <row r="363" spans="1:20" x14ac:dyDescent="0.3">
      <c r="A363" t="s">
        <v>458</v>
      </c>
      <c r="B363" s="17">
        <v>45958</v>
      </c>
      <c r="C363" t="s">
        <v>119</v>
      </c>
      <c r="D363" t="s">
        <v>120</v>
      </c>
      <c r="E363" t="s">
        <v>44</v>
      </c>
      <c r="F363" t="s">
        <v>34</v>
      </c>
      <c r="G363" t="s">
        <v>21</v>
      </c>
      <c r="H363" t="s">
        <v>22</v>
      </c>
      <c r="I363">
        <v>4</v>
      </c>
      <c r="J363">
        <v>8000</v>
      </c>
      <c r="K363">
        <v>0</v>
      </c>
      <c r="L363">
        <v>32000</v>
      </c>
      <c r="M363">
        <v>22400</v>
      </c>
      <c r="N363">
        <v>9600</v>
      </c>
      <c r="O363" t="s">
        <v>23</v>
      </c>
      <c r="P363" t="s">
        <v>42</v>
      </c>
      <c r="Q363" t="str">
        <f>TEXT(Table1[[#This Row],[Order_Date]],"mmm")</f>
        <v>Oct</v>
      </c>
      <c r="R363" t="b">
        <f t="shared" si="5"/>
        <v>1</v>
      </c>
      <c r="T363" s="6">
        <f>Table1[[#This Row],[Profit]]/Table1[[#This Row],[Sales]]</f>
        <v>0.3</v>
      </c>
    </row>
    <row r="364" spans="1:20" x14ac:dyDescent="0.3">
      <c r="A364" t="s">
        <v>459</v>
      </c>
      <c r="B364" s="17">
        <v>45717</v>
      </c>
      <c r="C364" t="s">
        <v>107</v>
      </c>
      <c r="D364" t="s">
        <v>108</v>
      </c>
      <c r="E364" t="s">
        <v>85</v>
      </c>
      <c r="F364" t="s">
        <v>78</v>
      </c>
      <c r="G364" t="s">
        <v>28</v>
      </c>
      <c r="H364" t="s">
        <v>73</v>
      </c>
      <c r="I364">
        <v>5</v>
      </c>
      <c r="J364">
        <v>900</v>
      </c>
      <c r="K364">
        <v>0</v>
      </c>
      <c r="L364">
        <v>4500</v>
      </c>
      <c r="M364">
        <v>2500</v>
      </c>
      <c r="N364">
        <v>2000</v>
      </c>
      <c r="O364" t="s">
        <v>23</v>
      </c>
      <c r="P364" t="s">
        <v>24</v>
      </c>
      <c r="Q364" t="str">
        <f>TEXT(Table1[[#This Row],[Order_Date]],"mmm")</f>
        <v>Mar</v>
      </c>
      <c r="R364" t="b">
        <f t="shared" si="5"/>
        <v>1</v>
      </c>
      <c r="T364" s="6">
        <f>Table1[[#This Row],[Profit]]/Table1[[#This Row],[Sales]]</f>
        <v>0.44444444444444442</v>
      </c>
    </row>
    <row r="365" spans="1:20" x14ac:dyDescent="0.3">
      <c r="A365" t="s">
        <v>460</v>
      </c>
      <c r="B365" s="17">
        <v>46020</v>
      </c>
      <c r="C365" t="s">
        <v>135</v>
      </c>
      <c r="D365" t="s">
        <v>136</v>
      </c>
      <c r="E365" t="s">
        <v>67</v>
      </c>
      <c r="F365" t="s">
        <v>50</v>
      </c>
      <c r="G365" t="s">
        <v>21</v>
      </c>
      <c r="H365" t="s">
        <v>86</v>
      </c>
      <c r="I365">
        <v>1</v>
      </c>
      <c r="J365">
        <v>4500</v>
      </c>
      <c r="K365">
        <v>0.05</v>
      </c>
      <c r="L365">
        <v>4275</v>
      </c>
      <c r="M365">
        <v>3100</v>
      </c>
      <c r="N365">
        <v>1175</v>
      </c>
      <c r="O365" t="s">
        <v>97</v>
      </c>
      <c r="P365" t="s">
        <v>24</v>
      </c>
      <c r="Q365" t="str">
        <f>TEXT(Table1[[#This Row],[Order_Date]],"mmm")</f>
        <v>Dec</v>
      </c>
      <c r="R365" t="b">
        <f t="shared" si="5"/>
        <v>1</v>
      </c>
      <c r="T365" s="6">
        <f>Table1[[#This Row],[Profit]]/Table1[[#This Row],[Sales]]</f>
        <v>0.27485380116959063</v>
      </c>
    </row>
    <row r="366" spans="1:20" x14ac:dyDescent="0.3">
      <c r="A366" t="s">
        <v>461</v>
      </c>
      <c r="B366" s="17">
        <v>45848</v>
      </c>
      <c r="C366" t="s">
        <v>135</v>
      </c>
      <c r="D366" t="s">
        <v>136</v>
      </c>
      <c r="E366" t="s">
        <v>67</v>
      </c>
      <c r="F366" t="s">
        <v>50</v>
      </c>
      <c r="G366" t="s">
        <v>28</v>
      </c>
      <c r="H366" t="s">
        <v>29</v>
      </c>
      <c r="I366">
        <v>3</v>
      </c>
      <c r="J366">
        <v>4500</v>
      </c>
      <c r="K366">
        <v>0.05</v>
      </c>
      <c r="L366">
        <v>12825</v>
      </c>
      <c r="M366">
        <v>9300</v>
      </c>
      <c r="N366">
        <v>3525</v>
      </c>
      <c r="O366" t="s">
        <v>51</v>
      </c>
      <c r="P366" t="s">
        <v>42</v>
      </c>
      <c r="Q366" t="str">
        <f>TEXT(Table1[[#This Row],[Order_Date]],"mmm")</f>
        <v>Jul</v>
      </c>
      <c r="R366" t="b">
        <f t="shared" si="5"/>
        <v>1</v>
      </c>
      <c r="T366" s="6">
        <f>Table1[[#This Row],[Profit]]/Table1[[#This Row],[Sales]]</f>
        <v>0.27485380116959063</v>
      </c>
    </row>
    <row r="367" spans="1:20" x14ac:dyDescent="0.3">
      <c r="A367" t="s">
        <v>462</v>
      </c>
      <c r="B367" s="17">
        <v>45926</v>
      </c>
      <c r="C367" t="s">
        <v>119</v>
      </c>
      <c r="D367" t="s">
        <v>120</v>
      </c>
      <c r="E367" t="s">
        <v>44</v>
      </c>
      <c r="F367" t="s">
        <v>34</v>
      </c>
      <c r="G367" t="s">
        <v>28</v>
      </c>
      <c r="H367" t="s">
        <v>73</v>
      </c>
      <c r="I367">
        <v>5</v>
      </c>
      <c r="J367">
        <v>8000</v>
      </c>
      <c r="K367">
        <v>0.1</v>
      </c>
      <c r="L367">
        <v>36000</v>
      </c>
      <c r="M367">
        <v>28000</v>
      </c>
      <c r="N367">
        <v>8000</v>
      </c>
      <c r="O367" t="s">
        <v>97</v>
      </c>
      <c r="P367" t="s">
        <v>24</v>
      </c>
      <c r="Q367" t="str">
        <f>TEXT(Table1[[#This Row],[Order_Date]],"mmm")</f>
        <v>Sep</v>
      </c>
      <c r="R367" t="b">
        <f t="shared" si="5"/>
        <v>1</v>
      </c>
      <c r="T367" s="6">
        <f>Table1[[#This Row],[Profit]]/Table1[[#This Row],[Sales]]</f>
        <v>0.22222222222222221</v>
      </c>
    </row>
    <row r="368" spans="1:20" x14ac:dyDescent="0.3">
      <c r="A368" t="s">
        <v>463</v>
      </c>
      <c r="B368" s="17">
        <v>45913</v>
      </c>
      <c r="C368" t="s">
        <v>113</v>
      </c>
      <c r="D368" t="s">
        <v>114</v>
      </c>
      <c r="E368" t="s">
        <v>55</v>
      </c>
      <c r="F368" t="s">
        <v>20</v>
      </c>
      <c r="G368" t="s">
        <v>21</v>
      </c>
      <c r="H368" t="s">
        <v>86</v>
      </c>
      <c r="I368">
        <v>3</v>
      </c>
      <c r="J368">
        <v>2500</v>
      </c>
      <c r="K368">
        <v>0</v>
      </c>
      <c r="L368">
        <v>7500</v>
      </c>
      <c r="M368">
        <v>5100</v>
      </c>
      <c r="N368">
        <v>2400</v>
      </c>
      <c r="O368" t="s">
        <v>23</v>
      </c>
      <c r="P368" t="s">
        <v>24</v>
      </c>
      <c r="Q368" t="str">
        <f>TEXT(Table1[[#This Row],[Order_Date]],"mmm")</f>
        <v>Sep</v>
      </c>
      <c r="R368" t="b">
        <f t="shared" si="5"/>
        <v>1</v>
      </c>
      <c r="T368" s="6">
        <f>Table1[[#This Row],[Profit]]/Table1[[#This Row],[Sales]]</f>
        <v>0.32</v>
      </c>
    </row>
    <row r="369" spans="1:20" x14ac:dyDescent="0.3">
      <c r="A369" t="s">
        <v>464</v>
      </c>
      <c r="B369" s="17">
        <v>45918</v>
      </c>
      <c r="C369" t="s">
        <v>75</v>
      </c>
      <c r="D369" t="s">
        <v>76</v>
      </c>
      <c r="E369" t="s">
        <v>19</v>
      </c>
      <c r="F369" t="s">
        <v>20</v>
      </c>
      <c r="G369" t="s">
        <v>21</v>
      </c>
      <c r="H369" t="s">
        <v>22</v>
      </c>
      <c r="I369">
        <v>1</v>
      </c>
      <c r="J369">
        <v>55000</v>
      </c>
      <c r="K369">
        <v>0.1</v>
      </c>
      <c r="L369">
        <v>49500</v>
      </c>
      <c r="M369">
        <v>45000</v>
      </c>
      <c r="N369">
        <v>4500</v>
      </c>
      <c r="O369" t="s">
        <v>97</v>
      </c>
      <c r="P369" t="s">
        <v>42</v>
      </c>
      <c r="Q369" t="str">
        <f>TEXT(Table1[[#This Row],[Order_Date]],"mmm")</f>
        <v>Sep</v>
      </c>
      <c r="R369" t="b">
        <f t="shared" si="5"/>
        <v>1</v>
      </c>
      <c r="T369" s="6">
        <f>Table1[[#This Row],[Profit]]/Table1[[#This Row],[Sales]]</f>
        <v>9.0909090909090912E-2</v>
      </c>
    </row>
    <row r="370" spans="1:20" x14ac:dyDescent="0.3">
      <c r="A370" t="s">
        <v>465</v>
      </c>
      <c r="B370" s="17">
        <v>45734</v>
      </c>
      <c r="C370" t="s">
        <v>71</v>
      </c>
      <c r="D370" t="s">
        <v>72</v>
      </c>
      <c r="E370" t="s">
        <v>60</v>
      </c>
      <c r="F370" t="s">
        <v>50</v>
      </c>
      <c r="G370" t="s">
        <v>35</v>
      </c>
      <c r="H370" t="s">
        <v>69</v>
      </c>
      <c r="I370">
        <v>1</v>
      </c>
      <c r="J370">
        <v>6000</v>
      </c>
      <c r="K370">
        <v>0.05</v>
      </c>
      <c r="L370">
        <v>5700</v>
      </c>
      <c r="M370">
        <v>4200</v>
      </c>
      <c r="N370">
        <v>1500</v>
      </c>
      <c r="O370" t="s">
        <v>58</v>
      </c>
      <c r="P370" t="s">
        <v>42</v>
      </c>
      <c r="Q370" t="str">
        <f>TEXT(Table1[[#This Row],[Order_Date]],"mmm")</f>
        <v>Mar</v>
      </c>
      <c r="R370" t="b">
        <f t="shared" si="5"/>
        <v>1</v>
      </c>
      <c r="T370" s="6">
        <f>Table1[[#This Row],[Profit]]/Table1[[#This Row],[Sales]]</f>
        <v>0.26315789473684209</v>
      </c>
    </row>
    <row r="371" spans="1:20" x14ac:dyDescent="0.3">
      <c r="A371" t="s">
        <v>466</v>
      </c>
      <c r="B371" s="17">
        <v>45821</v>
      </c>
      <c r="C371" t="s">
        <v>132</v>
      </c>
      <c r="D371" t="s">
        <v>133</v>
      </c>
      <c r="E371" t="s">
        <v>60</v>
      </c>
      <c r="F371" t="s">
        <v>50</v>
      </c>
      <c r="G371" t="s">
        <v>40</v>
      </c>
      <c r="H371" t="s">
        <v>41</v>
      </c>
      <c r="I371">
        <v>1</v>
      </c>
      <c r="J371">
        <v>6000</v>
      </c>
      <c r="K371">
        <v>0.15</v>
      </c>
      <c r="L371">
        <v>5100</v>
      </c>
      <c r="M371">
        <v>4200</v>
      </c>
      <c r="N371">
        <v>900</v>
      </c>
      <c r="O371" t="s">
        <v>23</v>
      </c>
      <c r="P371" t="s">
        <v>24</v>
      </c>
      <c r="Q371" t="str">
        <f>TEXT(Table1[[#This Row],[Order_Date]],"mmm")</f>
        <v>Jun</v>
      </c>
      <c r="R371" t="b">
        <f t="shared" si="5"/>
        <v>1</v>
      </c>
      <c r="T371" s="6">
        <f>Table1[[#This Row],[Profit]]/Table1[[#This Row],[Sales]]</f>
        <v>0.17647058823529413</v>
      </c>
    </row>
    <row r="372" spans="1:20" x14ac:dyDescent="0.3">
      <c r="A372" t="s">
        <v>467</v>
      </c>
      <c r="B372" s="17">
        <v>45772</v>
      </c>
      <c r="C372" t="s">
        <v>83</v>
      </c>
      <c r="D372" t="s">
        <v>84</v>
      </c>
      <c r="E372" t="s">
        <v>19</v>
      </c>
      <c r="F372" t="s">
        <v>20</v>
      </c>
      <c r="G372" t="s">
        <v>28</v>
      </c>
      <c r="H372" t="s">
        <v>73</v>
      </c>
      <c r="I372">
        <v>4</v>
      </c>
      <c r="J372">
        <v>55000</v>
      </c>
      <c r="K372">
        <v>0.05</v>
      </c>
      <c r="L372">
        <v>209000</v>
      </c>
      <c r="M372">
        <v>180000</v>
      </c>
      <c r="N372">
        <v>29000</v>
      </c>
      <c r="O372" t="s">
        <v>97</v>
      </c>
      <c r="P372" t="s">
        <v>42</v>
      </c>
      <c r="Q372" t="str">
        <f>TEXT(Table1[[#This Row],[Order_Date]],"mmm")</f>
        <v>Apr</v>
      </c>
      <c r="R372" t="b">
        <f t="shared" si="5"/>
        <v>1</v>
      </c>
      <c r="T372" s="6">
        <f>Table1[[#This Row],[Profit]]/Table1[[#This Row],[Sales]]</f>
        <v>0.13875598086124402</v>
      </c>
    </row>
    <row r="373" spans="1:20" x14ac:dyDescent="0.3">
      <c r="A373" t="s">
        <v>468</v>
      </c>
      <c r="B373" s="17">
        <v>45702</v>
      </c>
      <c r="C373" t="s">
        <v>31</v>
      </c>
      <c r="D373" t="s">
        <v>32</v>
      </c>
      <c r="E373" t="s">
        <v>80</v>
      </c>
      <c r="F373" t="s">
        <v>81</v>
      </c>
      <c r="G373" t="s">
        <v>40</v>
      </c>
      <c r="H373" t="s">
        <v>41</v>
      </c>
      <c r="I373">
        <v>1</v>
      </c>
      <c r="J373">
        <v>1800</v>
      </c>
      <c r="K373">
        <v>0.05</v>
      </c>
      <c r="L373">
        <v>1710</v>
      </c>
      <c r="M373">
        <v>1100</v>
      </c>
      <c r="N373">
        <v>610</v>
      </c>
      <c r="O373" t="s">
        <v>97</v>
      </c>
      <c r="P373" t="s">
        <v>24</v>
      </c>
      <c r="Q373" t="str">
        <f>TEXT(Table1[[#This Row],[Order_Date]],"mmm")</f>
        <v>Feb</v>
      </c>
      <c r="R373" t="b">
        <f t="shared" si="5"/>
        <v>1</v>
      </c>
      <c r="T373" s="6">
        <f>Table1[[#This Row],[Profit]]/Table1[[#This Row],[Sales]]</f>
        <v>0.35672514619883039</v>
      </c>
    </row>
    <row r="374" spans="1:20" x14ac:dyDescent="0.3">
      <c r="A374" t="s">
        <v>469</v>
      </c>
      <c r="B374" s="17">
        <v>45895</v>
      </c>
      <c r="C374" t="s">
        <v>53</v>
      </c>
      <c r="D374" t="s">
        <v>54</v>
      </c>
      <c r="E374" t="s">
        <v>85</v>
      </c>
      <c r="F374" t="s">
        <v>78</v>
      </c>
      <c r="G374" t="s">
        <v>21</v>
      </c>
      <c r="H374" t="s">
        <v>95</v>
      </c>
      <c r="I374">
        <v>4</v>
      </c>
      <c r="J374">
        <v>900</v>
      </c>
      <c r="K374">
        <v>0.15</v>
      </c>
      <c r="L374">
        <v>3060</v>
      </c>
      <c r="M374">
        <v>2000</v>
      </c>
      <c r="N374">
        <v>1060</v>
      </c>
      <c r="O374" t="s">
        <v>58</v>
      </c>
      <c r="P374" t="s">
        <v>24</v>
      </c>
      <c r="Q374" t="str">
        <f>TEXT(Table1[[#This Row],[Order_Date]],"mmm")</f>
        <v>Aug</v>
      </c>
      <c r="R374" t="b">
        <f t="shared" si="5"/>
        <v>1</v>
      </c>
      <c r="T374" s="6">
        <f>Table1[[#This Row],[Profit]]/Table1[[#This Row],[Sales]]</f>
        <v>0.34640522875816993</v>
      </c>
    </row>
    <row r="375" spans="1:20" x14ac:dyDescent="0.3">
      <c r="A375" t="s">
        <v>470</v>
      </c>
      <c r="B375" s="17">
        <v>45661</v>
      </c>
      <c r="C375" t="s">
        <v>26</v>
      </c>
      <c r="D375" t="s">
        <v>27</v>
      </c>
      <c r="E375" t="s">
        <v>19</v>
      </c>
      <c r="F375" t="s">
        <v>20</v>
      </c>
      <c r="G375" t="s">
        <v>40</v>
      </c>
      <c r="H375" t="s">
        <v>45</v>
      </c>
      <c r="I375">
        <v>2</v>
      </c>
      <c r="J375">
        <v>55000</v>
      </c>
      <c r="K375">
        <v>0</v>
      </c>
      <c r="L375">
        <v>110000</v>
      </c>
      <c r="M375">
        <v>90000</v>
      </c>
      <c r="N375">
        <v>20000</v>
      </c>
      <c r="O375" t="s">
        <v>97</v>
      </c>
      <c r="P375" t="s">
        <v>24</v>
      </c>
      <c r="Q375" t="str">
        <f>TEXT(Table1[[#This Row],[Order_Date]],"mmm")</f>
        <v>Jan</v>
      </c>
      <c r="R375" t="b">
        <f t="shared" si="5"/>
        <v>1</v>
      </c>
      <c r="T375" s="6">
        <f>Table1[[#This Row],[Profit]]/Table1[[#This Row],[Sales]]</f>
        <v>0.18181818181818182</v>
      </c>
    </row>
    <row r="376" spans="1:20" x14ac:dyDescent="0.3">
      <c r="A376" t="s">
        <v>471</v>
      </c>
      <c r="B376" s="17">
        <v>45994</v>
      </c>
      <c r="C376" t="s">
        <v>122</v>
      </c>
      <c r="D376" t="s">
        <v>123</v>
      </c>
      <c r="E376" t="s">
        <v>60</v>
      </c>
      <c r="F376" t="s">
        <v>50</v>
      </c>
      <c r="G376" t="s">
        <v>28</v>
      </c>
      <c r="H376" t="s">
        <v>29</v>
      </c>
      <c r="I376">
        <v>3</v>
      </c>
      <c r="J376">
        <v>6000</v>
      </c>
      <c r="K376">
        <v>0.15</v>
      </c>
      <c r="L376">
        <v>15300</v>
      </c>
      <c r="M376">
        <v>12600</v>
      </c>
      <c r="N376">
        <v>2700</v>
      </c>
      <c r="O376" t="s">
        <v>58</v>
      </c>
      <c r="P376" t="s">
        <v>42</v>
      </c>
      <c r="Q376" t="str">
        <f>TEXT(Table1[[#This Row],[Order_Date]],"mmm")</f>
        <v>Dec</v>
      </c>
      <c r="R376" t="b">
        <f t="shared" si="5"/>
        <v>1</v>
      </c>
      <c r="T376" s="6">
        <f>Table1[[#This Row],[Profit]]/Table1[[#This Row],[Sales]]</f>
        <v>0.17647058823529413</v>
      </c>
    </row>
    <row r="377" spans="1:20" x14ac:dyDescent="0.3">
      <c r="A377" t="s">
        <v>472</v>
      </c>
      <c r="B377" s="17">
        <v>45909</v>
      </c>
      <c r="C377" t="s">
        <v>100</v>
      </c>
      <c r="D377" t="s">
        <v>101</v>
      </c>
      <c r="E377" t="s">
        <v>55</v>
      </c>
      <c r="F377" t="s">
        <v>20</v>
      </c>
      <c r="G377" t="s">
        <v>28</v>
      </c>
      <c r="H377" t="s">
        <v>29</v>
      </c>
      <c r="I377">
        <v>3</v>
      </c>
      <c r="J377">
        <v>2500</v>
      </c>
      <c r="K377">
        <v>0</v>
      </c>
      <c r="L377">
        <v>7500</v>
      </c>
      <c r="M377">
        <v>5100</v>
      </c>
      <c r="N377">
        <v>2400</v>
      </c>
      <c r="O377" t="s">
        <v>51</v>
      </c>
      <c r="P377" t="s">
        <v>42</v>
      </c>
      <c r="Q377" t="str">
        <f>TEXT(Table1[[#This Row],[Order_Date]],"mmm")</f>
        <v>Sep</v>
      </c>
      <c r="R377" t="b">
        <f t="shared" si="5"/>
        <v>1</v>
      </c>
      <c r="T377" s="6">
        <f>Table1[[#This Row],[Profit]]/Table1[[#This Row],[Sales]]</f>
        <v>0.32</v>
      </c>
    </row>
    <row r="378" spans="1:20" x14ac:dyDescent="0.3">
      <c r="A378" t="s">
        <v>473</v>
      </c>
      <c r="B378" s="17">
        <v>45892</v>
      </c>
      <c r="C378" t="s">
        <v>119</v>
      </c>
      <c r="D378" t="s">
        <v>120</v>
      </c>
      <c r="E378" t="s">
        <v>85</v>
      </c>
      <c r="F378" t="s">
        <v>78</v>
      </c>
      <c r="G378" t="s">
        <v>21</v>
      </c>
      <c r="H378" t="s">
        <v>95</v>
      </c>
      <c r="I378">
        <v>1</v>
      </c>
      <c r="J378">
        <v>900</v>
      </c>
      <c r="K378">
        <v>0.1</v>
      </c>
      <c r="L378">
        <v>810</v>
      </c>
      <c r="M378">
        <v>500</v>
      </c>
      <c r="N378">
        <v>310</v>
      </c>
      <c r="O378" t="s">
        <v>23</v>
      </c>
      <c r="P378" t="s">
        <v>24</v>
      </c>
      <c r="Q378" t="str">
        <f>TEXT(Table1[[#This Row],[Order_Date]],"mmm")</f>
        <v>Aug</v>
      </c>
      <c r="R378" t="b">
        <f t="shared" si="5"/>
        <v>1</v>
      </c>
      <c r="T378" s="6">
        <f>Table1[[#This Row],[Profit]]/Table1[[#This Row],[Sales]]</f>
        <v>0.38271604938271603</v>
      </c>
    </row>
    <row r="379" spans="1:20" x14ac:dyDescent="0.3">
      <c r="A379" t="s">
        <v>474</v>
      </c>
      <c r="B379" s="17">
        <v>45880</v>
      </c>
      <c r="C379" t="s">
        <v>135</v>
      </c>
      <c r="D379" t="s">
        <v>136</v>
      </c>
      <c r="E379" t="s">
        <v>65</v>
      </c>
      <c r="F379" t="s">
        <v>20</v>
      </c>
      <c r="G379" t="s">
        <v>40</v>
      </c>
      <c r="H379" t="s">
        <v>61</v>
      </c>
      <c r="I379">
        <v>3</v>
      </c>
      <c r="J379">
        <v>5000</v>
      </c>
      <c r="K379">
        <v>0.1</v>
      </c>
      <c r="L379">
        <v>13500</v>
      </c>
      <c r="M379">
        <v>10500</v>
      </c>
      <c r="N379">
        <v>3000</v>
      </c>
      <c r="O379" t="s">
        <v>97</v>
      </c>
      <c r="P379" t="s">
        <v>42</v>
      </c>
      <c r="Q379" t="str">
        <f>TEXT(Table1[[#This Row],[Order_Date]],"mmm")</f>
        <v>Aug</v>
      </c>
      <c r="R379" t="b">
        <f t="shared" si="5"/>
        <v>1</v>
      </c>
      <c r="T379" s="6">
        <f>Table1[[#This Row],[Profit]]/Table1[[#This Row],[Sales]]</f>
        <v>0.22222222222222221</v>
      </c>
    </row>
    <row r="380" spans="1:20" x14ac:dyDescent="0.3">
      <c r="A380" t="s">
        <v>475</v>
      </c>
      <c r="B380" s="17">
        <v>45889</v>
      </c>
      <c r="C380" t="s">
        <v>132</v>
      </c>
      <c r="D380" t="s">
        <v>133</v>
      </c>
      <c r="E380" t="s">
        <v>65</v>
      </c>
      <c r="F380" t="s">
        <v>20</v>
      </c>
      <c r="G380" t="s">
        <v>21</v>
      </c>
      <c r="H380" t="s">
        <v>22</v>
      </c>
      <c r="I380">
        <v>1</v>
      </c>
      <c r="J380">
        <v>5000</v>
      </c>
      <c r="K380">
        <v>0.15</v>
      </c>
      <c r="L380">
        <v>4250</v>
      </c>
      <c r="M380">
        <v>3500</v>
      </c>
      <c r="N380">
        <v>750</v>
      </c>
      <c r="O380" t="s">
        <v>23</v>
      </c>
      <c r="P380" t="s">
        <v>24</v>
      </c>
      <c r="Q380" t="str">
        <f>TEXT(Table1[[#This Row],[Order_Date]],"mmm")</f>
        <v>Aug</v>
      </c>
      <c r="R380" t="b">
        <f t="shared" si="5"/>
        <v>1</v>
      </c>
      <c r="T380" s="6">
        <f>Table1[[#This Row],[Profit]]/Table1[[#This Row],[Sales]]</f>
        <v>0.17647058823529413</v>
      </c>
    </row>
    <row r="381" spans="1:20" x14ac:dyDescent="0.3">
      <c r="A381" t="s">
        <v>476</v>
      </c>
      <c r="B381" s="17">
        <v>45712</v>
      </c>
      <c r="C381" t="s">
        <v>71</v>
      </c>
      <c r="D381" t="s">
        <v>72</v>
      </c>
      <c r="E381" t="s">
        <v>80</v>
      </c>
      <c r="F381" t="s">
        <v>81</v>
      </c>
      <c r="G381" t="s">
        <v>40</v>
      </c>
      <c r="H381" t="s">
        <v>61</v>
      </c>
      <c r="I381">
        <v>4</v>
      </c>
      <c r="J381">
        <v>1800</v>
      </c>
      <c r="K381">
        <v>0</v>
      </c>
      <c r="L381">
        <v>7200</v>
      </c>
      <c r="M381">
        <v>4400</v>
      </c>
      <c r="N381">
        <v>2800</v>
      </c>
      <c r="O381" t="s">
        <v>97</v>
      </c>
      <c r="P381" t="s">
        <v>24</v>
      </c>
      <c r="Q381" t="str">
        <f>TEXT(Table1[[#This Row],[Order_Date]],"mmm")</f>
        <v>Feb</v>
      </c>
      <c r="R381" t="b">
        <f t="shared" si="5"/>
        <v>1</v>
      </c>
      <c r="T381" s="6">
        <f>Table1[[#This Row],[Profit]]/Table1[[#This Row],[Sales]]</f>
        <v>0.3888888888888889</v>
      </c>
    </row>
    <row r="382" spans="1:20" x14ac:dyDescent="0.3">
      <c r="A382" t="s">
        <v>477</v>
      </c>
      <c r="B382" s="17">
        <v>45889</v>
      </c>
      <c r="C382" t="s">
        <v>128</v>
      </c>
      <c r="D382" t="s">
        <v>129</v>
      </c>
      <c r="E382" t="s">
        <v>80</v>
      </c>
      <c r="F382" t="s">
        <v>81</v>
      </c>
      <c r="G382" t="s">
        <v>28</v>
      </c>
      <c r="H382" t="s">
        <v>29</v>
      </c>
      <c r="I382">
        <v>3</v>
      </c>
      <c r="J382">
        <v>1800</v>
      </c>
      <c r="K382">
        <v>0</v>
      </c>
      <c r="L382">
        <v>5400</v>
      </c>
      <c r="M382">
        <v>3300</v>
      </c>
      <c r="N382">
        <v>2100</v>
      </c>
      <c r="O382" t="s">
        <v>97</v>
      </c>
      <c r="P382" t="s">
        <v>24</v>
      </c>
      <c r="Q382" t="str">
        <f>TEXT(Table1[[#This Row],[Order_Date]],"mmm")</f>
        <v>Aug</v>
      </c>
      <c r="R382" t="b">
        <f t="shared" si="5"/>
        <v>1</v>
      </c>
      <c r="T382" s="6">
        <f>Table1[[#This Row],[Profit]]/Table1[[#This Row],[Sales]]</f>
        <v>0.3888888888888889</v>
      </c>
    </row>
    <row r="383" spans="1:20" x14ac:dyDescent="0.3">
      <c r="A383" t="s">
        <v>478</v>
      </c>
      <c r="B383" s="17">
        <v>45768</v>
      </c>
      <c r="C383" t="s">
        <v>63</v>
      </c>
      <c r="D383" t="s">
        <v>64</v>
      </c>
      <c r="E383" t="s">
        <v>55</v>
      </c>
      <c r="F383" t="s">
        <v>20</v>
      </c>
      <c r="G383" t="s">
        <v>21</v>
      </c>
      <c r="H383" t="s">
        <v>86</v>
      </c>
      <c r="I383">
        <v>1</v>
      </c>
      <c r="J383">
        <v>2500</v>
      </c>
      <c r="K383">
        <v>0.1</v>
      </c>
      <c r="L383">
        <v>2250</v>
      </c>
      <c r="M383">
        <v>1700</v>
      </c>
      <c r="N383">
        <v>550</v>
      </c>
      <c r="O383" t="s">
        <v>23</v>
      </c>
      <c r="P383" t="s">
        <v>42</v>
      </c>
      <c r="Q383" t="str">
        <f>TEXT(Table1[[#This Row],[Order_Date]],"mmm")</f>
        <v>Apr</v>
      </c>
      <c r="R383" t="b">
        <f t="shared" si="5"/>
        <v>1</v>
      </c>
      <c r="T383" s="6">
        <f>Table1[[#This Row],[Profit]]/Table1[[#This Row],[Sales]]</f>
        <v>0.24444444444444444</v>
      </c>
    </row>
    <row r="384" spans="1:20" x14ac:dyDescent="0.3">
      <c r="A384" t="s">
        <v>479</v>
      </c>
      <c r="B384" s="17">
        <v>45791</v>
      </c>
      <c r="C384" t="s">
        <v>71</v>
      </c>
      <c r="D384" t="s">
        <v>72</v>
      </c>
      <c r="E384" t="s">
        <v>19</v>
      </c>
      <c r="F384" t="s">
        <v>20</v>
      </c>
      <c r="G384" t="s">
        <v>35</v>
      </c>
      <c r="H384" t="s">
        <v>36</v>
      </c>
      <c r="I384">
        <v>4</v>
      </c>
      <c r="J384">
        <v>55000</v>
      </c>
      <c r="K384">
        <v>0.15</v>
      </c>
      <c r="L384">
        <v>187000</v>
      </c>
      <c r="M384">
        <v>180000</v>
      </c>
      <c r="N384">
        <v>7000</v>
      </c>
      <c r="O384" t="s">
        <v>58</v>
      </c>
      <c r="P384" t="s">
        <v>24</v>
      </c>
      <c r="Q384" t="str">
        <f>TEXT(Table1[[#This Row],[Order_Date]],"mmm")</f>
        <v>May</v>
      </c>
      <c r="R384" t="b">
        <f t="shared" si="5"/>
        <v>1</v>
      </c>
      <c r="T384" s="6">
        <f>Table1[[#This Row],[Profit]]/Table1[[#This Row],[Sales]]</f>
        <v>3.7433155080213901E-2</v>
      </c>
    </row>
    <row r="385" spans="1:20" x14ac:dyDescent="0.3">
      <c r="A385" t="s">
        <v>480</v>
      </c>
      <c r="B385" s="17">
        <v>45894</v>
      </c>
      <c r="C385" t="s">
        <v>17</v>
      </c>
      <c r="D385" t="s">
        <v>18</v>
      </c>
      <c r="E385" t="s">
        <v>49</v>
      </c>
      <c r="F385" t="s">
        <v>50</v>
      </c>
      <c r="G385" t="s">
        <v>28</v>
      </c>
      <c r="H385" t="s">
        <v>29</v>
      </c>
      <c r="I385">
        <v>2</v>
      </c>
      <c r="J385">
        <v>3500</v>
      </c>
      <c r="K385">
        <v>0</v>
      </c>
      <c r="L385">
        <v>7000</v>
      </c>
      <c r="M385">
        <v>4800</v>
      </c>
      <c r="N385">
        <v>2200</v>
      </c>
      <c r="O385" t="s">
        <v>58</v>
      </c>
      <c r="P385" t="s">
        <v>24</v>
      </c>
      <c r="Q385" t="str">
        <f>TEXT(Table1[[#This Row],[Order_Date]],"mmm")</f>
        <v>Aug</v>
      </c>
      <c r="R385" t="b">
        <f t="shared" si="5"/>
        <v>1</v>
      </c>
      <c r="T385" s="6">
        <f>Table1[[#This Row],[Profit]]/Table1[[#This Row],[Sales]]</f>
        <v>0.31428571428571428</v>
      </c>
    </row>
    <row r="386" spans="1:20" x14ac:dyDescent="0.3">
      <c r="A386" t="s">
        <v>481</v>
      </c>
      <c r="B386" s="17">
        <v>45759</v>
      </c>
      <c r="C386" t="s">
        <v>122</v>
      </c>
      <c r="D386" t="s">
        <v>123</v>
      </c>
      <c r="E386" t="s">
        <v>38</v>
      </c>
      <c r="F386" t="s">
        <v>34</v>
      </c>
      <c r="G386" t="s">
        <v>40</v>
      </c>
      <c r="H386" t="s">
        <v>41</v>
      </c>
      <c r="I386">
        <v>1</v>
      </c>
      <c r="J386">
        <v>12000</v>
      </c>
      <c r="K386">
        <v>0</v>
      </c>
      <c r="L386">
        <v>12000</v>
      </c>
      <c r="M386">
        <v>8500</v>
      </c>
      <c r="N386">
        <v>3500</v>
      </c>
      <c r="O386" t="s">
        <v>23</v>
      </c>
      <c r="P386" t="s">
        <v>24</v>
      </c>
      <c r="Q386" t="str">
        <f>TEXT(Table1[[#This Row],[Order_Date]],"mmm")</f>
        <v>Apr</v>
      </c>
      <c r="R386" t="b">
        <f t="shared" ref="R386:R449" si="6">ISNUMBER(B386)</f>
        <v>1</v>
      </c>
      <c r="T386" s="6">
        <f>Table1[[#This Row],[Profit]]/Table1[[#This Row],[Sales]]</f>
        <v>0.29166666666666669</v>
      </c>
    </row>
    <row r="387" spans="1:20" x14ac:dyDescent="0.3">
      <c r="A387" t="s">
        <v>482</v>
      </c>
      <c r="B387" s="17">
        <v>45988</v>
      </c>
      <c r="C387" t="s">
        <v>107</v>
      </c>
      <c r="D387" t="s">
        <v>108</v>
      </c>
      <c r="E387" t="s">
        <v>49</v>
      </c>
      <c r="F387" t="s">
        <v>50</v>
      </c>
      <c r="G387" t="s">
        <v>28</v>
      </c>
      <c r="H387" t="s">
        <v>73</v>
      </c>
      <c r="I387">
        <v>2</v>
      </c>
      <c r="J387">
        <v>3500</v>
      </c>
      <c r="K387">
        <v>0</v>
      </c>
      <c r="L387">
        <v>7000</v>
      </c>
      <c r="M387">
        <v>4800</v>
      </c>
      <c r="N387">
        <v>2200</v>
      </c>
      <c r="O387" t="s">
        <v>23</v>
      </c>
      <c r="P387" t="s">
        <v>42</v>
      </c>
      <c r="Q387" t="str">
        <f>TEXT(Table1[[#This Row],[Order_Date]],"mmm")</f>
        <v>Nov</v>
      </c>
      <c r="R387" t="b">
        <f t="shared" si="6"/>
        <v>1</v>
      </c>
      <c r="T387" s="6">
        <f>Table1[[#This Row],[Profit]]/Table1[[#This Row],[Sales]]</f>
        <v>0.31428571428571428</v>
      </c>
    </row>
    <row r="388" spans="1:20" x14ac:dyDescent="0.3">
      <c r="A388" t="s">
        <v>483</v>
      </c>
      <c r="B388" s="17">
        <v>45683</v>
      </c>
      <c r="C388" t="s">
        <v>71</v>
      </c>
      <c r="D388" t="s">
        <v>72</v>
      </c>
      <c r="E388" t="s">
        <v>85</v>
      </c>
      <c r="F388" t="s">
        <v>78</v>
      </c>
      <c r="G388" t="s">
        <v>35</v>
      </c>
      <c r="H388" t="s">
        <v>57</v>
      </c>
      <c r="I388">
        <v>4</v>
      </c>
      <c r="J388">
        <v>900</v>
      </c>
      <c r="K388">
        <v>0</v>
      </c>
      <c r="L388">
        <v>3600</v>
      </c>
      <c r="M388">
        <v>2000</v>
      </c>
      <c r="N388">
        <v>1600</v>
      </c>
      <c r="O388" t="s">
        <v>51</v>
      </c>
      <c r="P388" t="s">
        <v>42</v>
      </c>
      <c r="Q388" t="str">
        <f>TEXT(Table1[[#This Row],[Order_Date]],"mmm")</f>
        <v>Jan</v>
      </c>
      <c r="R388" t="b">
        <f t="shared" si="6"/>
        <v>1</v>
      </c>
      <c r="T388" s="6">
        <f>Table1[[#This Row],[Profit]]/Table1[[#This Row],[Sales]]</f>
        <v>0.44444444444444442</v>
      </c>
    </row>
    <row r="389" spans="1:20" x14ac:dyDescent="0.3">
      <c r="A389" t="s">
        <v>484</v>
      </c>
      <c r="B389" s="17">
        <v>45746</v>
      </c>
      <c r="C389" t="s">
        <v>53</v>
      </c>
      <c r="D389" t="s">
        <v>54</v>
      </c>
      <c r="E389" t="s">
        <v>65</v>
      </c>
      <c r="F389" t="s">
        <v>20</v>
      </c>
      <c r="G389" t="s">
        <v>40</v>
      </c>
      <c r="H389" t="s">
        <v>61</v>
      </c>
      <c r="I389">
        <v>2</v>
      </c>
      <c r="J389">
        <v>5000</v>
      </c>
      <c r="K389">
        <v>0.1</v>
      </c>
      <c r="L389">
        <v>9000</v>
      </c>
      <c r="M389">
        <v>7000</v>
      </c>
      <c r="N389">
        <v>2000</v>
      </c>
      <c r="O389" t="s">
        <v>58</v>
      </c>
      <c r="P389" t="s">
        <v>24</v>
      </c>
      <c r="Q389" t="str">
        <f>TEXT(Table1[[#This Row],[Order_Date]],"mmm")</f>
        <v>Mar</v>
      </c>
      <c r="R389" t="b">
        <f t="shared" si="6"/>
        <v>1</v>
      </c>
      <c r="T389" s="6">
        <f>Table1[[#This Row],[Profit]]/Table1[[#This Row],[Sales]]</f>
        <v>0.22222222222222221</v>
      </c>
    </row>
    <row r="390" spans="1:20" x14ac:dyDescent="0.3">
      <c r="A390" t="s">
        <v>485</v>
      </c>
      <c r="B390" s="17">
        <v>45972</v>
      </c>
      <c r="C390" t="s">
        <v>93</v>
      </c>
      <c r="D390" t="s">
        <v>94</v>
      </c>
      <c r="E390" t="s">
        <v>85</v>
      </c>
      <c r="F390" t="s">
        <v>78</v>
      </c>
      <c r="G390" t="s">
        <v>40</v>
      </c>
      <c r="H390" t="s">
        <v>61</v>
      </c>
      <c r="I390">
        <v>2</v>
      </c>
      <c r="J390">
        <v>900</v>
      </c>
      <c r="K390">
        <v>0.1</v>
      </c>
      <c r="L390">
        <v>1620</v>
      </c>
      <c r="M390">
        <v>1000</v>
      </c>
      <c r="N390">
        <v>620</v>
      </c>
      <c r="O390" t="s">
        <v>51</v>
      </c>
      <c r="P390" t="s">
        <v>24</v>
      </c>
      <c r="Q390" t="str">
        <f>TEXT(Table1[[#This Row],[Order_Date]],"mmm")</f>
        <v>Nov</v>
      </c>
      <c r="R390" t="b">
        <f t="shared" si="6"/>
        <v>1</v>
      </c>
      <c r="T390" s="6">
        <f>Table1[[#This Row],[Profit]]/Table1[[#This Row],[Sales]]</f>
        <v>0.38271604938271603</v>
      </c>
    </row>
    <row r="391" spans="1:20" x14ac:dyDescent="0.3">
      <c r="A391" t="s">
        <v>486</v>
      </c>
      <c r="B391" s="17">
        <v>45702</v>
      </c>
      <c r="C391" t="s">
        <v>132</v>
      </c>
      <c r="D391" t="s">
        <v>133</v>
      </c>
      <c r="E391" t="s">
        <v>33</v>
      </c>
      <c r="F391" t="s">
        <v>34</v>
      </c>
      <c r="G391" t="s">
        <v>35</v>
      </c>
      <c r="H391" t="s">
        <v>69</v>
      </c>
      <c r="I391">
        <v>2</v>
      </c>
      <c r="J391">
        <v>7000</v>
      </c>
      <c r="K391">
        <v>0.15</v>
      </c>
      <c r="L391">
        <v>11900</v>
      </c>
      <c r="M391">
        <v>9600</v>
      </c>
      <c r="N391">
        <v>2300</v>
      </c>
      <c r="O391" t="s">
        <v>58</v>
      </c>
      <c r="P391" t="s">
        <v>24</v>
      </c>
      <c r="Q391" t="str">
        <f>TEXT(Table1[[#This Row],[Order_Date]],"mmm")</f>
        <v>Feb</v>
      </c>
      <c r="R391" t="b">
        <f t="shared" si="6"/>
        <v>1</v>
      </c>
      <c r="T391" s="6">
        <f>Table1[[#This Row],[Profit]]/Table1[[#This Row],[Sales]]</f>
        <v>0.19327731092436976</v>
      </c>
    </row>
    <row r="392" spans="1:20" x14ac:dyDescent="0.3">
      <c r="A392" t="s">
        <v>487</v>
      </c>
      <c r="B392" s="17">
        <v>45853</v>
      </c>
      <c r="C392" t="s">
        <v>53</v>
      </c>
      <c r="D392" t="s">
        <v>54</v>
      </c>
      <c r="E392" t="s">
        <v>80</v>
      </c>
      <c r="F392" t="s">
        <v>81</v>
      </c>
      <c r="G392" t="s">
        <v>35</v>
      </c>
      <c r="H392" t="s">
        <v>57</v>
      </c>
      <c r="I392">
        <v>5</v>
      </c>
      <c r="J392">
        <v>1800</v>
      </c>
      <c r="K392">
        <v>0.15</v>
      </c>
      <c r="L392">
        <v>7650</v>
      </c>
      <c r="M392">
        <v>5500</v>
      </c>
      <c r="N392">
        <v>2150</v>
      </c>
      <c r="O392" t="s">
        <v>97</v>
      </c>
      <c r="P392" t="s">
        <v>42</v>
      </c>
      <c r="Q392" t="str">
        <f>TEXT(Table1[[#This Row],[Order_Date]],"mmm")</f>
        <v>Jul</v>
      </c>
      <c r="R392" t="b">
        <f t="shared" si="6"/>
        <v>1</v>
      </c>
      <c r="T392" s="6">
        <f>Table1[[#This Row],[Profit]]/Table1[[#This Row],[Sales]]</f>
        <v>0.28104575163398693</v>
      </c>
    </row>
    <row r="393" spans="1:20" x14ac:dyDescent="0.3">
      <c r="A393" t="s">
        <v>488</v>
      </c>
      <c r="B393" s="17">
        <v>45796</v>
      </c>
      <c r="C393" t="s">
        <v>71</v>
      </c>
      <c r="D393" t="s">
        <v>72</v>
      </c>
      <c r="E393" t="s">
        <v>19</v>
      </c>
      <c r="F393" t="s">
        <v>20</v>
      </c>
      <c r="G393" t="s">
        <v>21</v>
      </c>
      <c r="H393" t="s">
        <v>22</v>
      </c>
      <c r="I393">
        <v>3</v>
      </c>
      <c r="J393">
        <v>55000</v>
      </c>
      <c r="K393">
        <v>0.05</v>
      </c>
      <c r="L393">
        <v>156750</v>
      </c>
      <c r="M393">
        <v>135000</v>
      </c>
      <c r="N393">
        <v>21750</v>
      </c>
      <c r="O393" t="s">
        <v>23</v>
      </c>
      <c r="P393" t="s">
        <v>42</v>
      </c>
      <c r="Q393" t="str">
        <f>TEXT(Table1[[#This Row],[Order_Date]],"mmm")</f>
        <v>May</v>
      </c>
      <c r="R393" t="b">
        <f t="shared" si="6"/>
        <v>1</v>
      </c>
      <c r="T393" s="6">
        <f>Table1[[#This Row],[Profit]]/Table1[[#This Row],[Sales]]</f>
        <v>0.13875598086124402</v>
      </c>
    </row>
    <row r="394" spans="1:20" x14ac:dyDescent="0.3">
      <c r="A394" t="s">
        <v>489</v>
      </c>
      <c r="B394" s="17">
        <v>45929</v>
      </c>
      <c r="C394" t="s">
        <v>53</v>
      </c>
      <c r="D394" t="s">
        <v>54</v>
      </c>
      <c r="E394" t="s">
        <v>49</v>
      </c>
      <c r="F394" t="s">
        <v>50</v>
      </c>
      <c r="G394" t="s">
        <v>21</v>
      </c>
      <c r="H394" t="s">
        <v>22</v>
      </c>
      <c r="I394">
        <v>5</v>
      </c>
      <c r="J394">
        <v>3500</v>
      </c>
      <c r="K394">
        <v>0</v>
      </c>
      <c r="L394">
        <v>17500</v>
      </c>
      <c r="M394">
        <v>12000</v>
      </c>
      <c r="N394">
        <v>5500</v>
      </c>
      <c r="O394" t="s">
        <v>58</v>
      </c>
      <c r="P394" t="s">
        <v>24</v>
      </c>
      <c r="Q394" t="str">
        <f>TEXT(Table1[[#This Row],[Order_Date]],"mmm")</f>
        <v>Sep</v>
      </c>
      <c r="R394" t="b">
        <f t="shared" si="6"/>
        <v>1</v>
      </c>
      <c r="T394" s="6">
        <f>Table1[[#This Row],[Profit]]/Table1[[#This Row],[Sales]]</f>
        <v>0.31428571428571428</v>
      </c>
    </row>
    <row r="395" spans="1:20" x14ac:dyDescent="0.3">
      <c r="A395" t="s">
        <v>490</v>
      </c>
      <c r="B395" s="17">
        <v>45794</v>
      </c>
      <c r="C395" t="s">
        <v>31</v>
      </c>
      <c r="D395" t="s">
        <v>32</v>
      </c>
      <c r="E395" t="s">
        <v>60</v>
      </c>
      <c r="F395" t="s">
        <v>50</v>
      </c>
      <c r="G395" t="s">
        <v>21</v>
      </c>
      <c r="H395" t="s">
        <v>95</v>
      </c>
      <c r="I395">
        <v>1</v>
      </c>
      <c r="J395">
        <v>6000</v>
      </c>
      <c r="K395">
        <v>0.1</v>
      </c>
      <c r="L395">
        <v>5400</v>
      </c>
      <c r="M395">
        <v>4200</v>
      </c>
      <c r="N395">
        <v>1200</v>
      </c>
      <c r="O395" t="s">
        <v>97</v>
      </c>
      <c r="P395" t="s">
        <v>24</v>
      </c>
      <c r="Q395" t="str">
        <f>TEXT(Table1[[#This Row],[Order_Date]],"mmm")</f>
        <v>May</v>
      </c>
      <c r="R395" t="b">
        <f t="shared" si="6"/>
        <v>1</v>
      </c>
      <c r="T395" s="6">
        <f>Table1[[#This Row],[Profit]]/Table1[[#This Row],[Sales]]</f>
        <v>0.22222222222222221</v>
      </c>
    </row>
    <row r="396" spans="1:20" x14ac:dyDescent="0.3">
      <c r="A396" t="s">
        <v>491</v>
      </c>
      <c r="B396" s="17">
        <v>45748</v>
      </c>
      <c r="C396" t="s">
        <v>47</v>
      </c>
      <c r="D396" t="s">
        <v>48</v>
      </c>
      <c r="E396" t="s">
        <v>85</v>
      </c>
      <c r="F396" t="s">
        <v>78</v>
      </c>
      <c r="G396" t="s">
        <v>40</v>
      </c>
      <c r="H396" t="s">
        <v>45</v>
      </c>
      <c r="I396">
        <v>3</v>
      </c>
      <c r="J396">
        <v>900</v>
      </c>
      <c r="K396">
        <v>0</v>
      </c>
      <c r="L396">
        <v>2700</v>
      </c>
      <c r="M396">
        <v>1500</v>
      </c>
      <c r="N396">
        <v>1200</v>
      </c>
      <c r="O396" t="s">
        <v>97</v>
      </c>
      <c r="P396" t="s">
        <v>24</v>
      </c>
      <c r="Q396" t="str">
        <f>TEXT(Table1[[#This Row],[Order_Date]],"mmm")</f>
        <v>Apr</v>
      </c>
      <c r="R396" t="b">
        <f t="shared" si="6"/>
        <v>1</v>
      </c>
      <c r="T396" s="6">
        <f>Table1[[#This Row],[Profit]]/Table1[[#This Row],[Sales]]</f>
        <v>0.44444444444444442</v>
      </c>
    </row>
    <row r="397" spans="1:20" x14ac:dyDescent="0.3">
      <c r="A397" t="s">
        <v>492</v>
      </c>
      <c r="B397" s="17">
        <v>45946</v>
      </c>
      <c r="C397" t="s">
        <v>207</v>
      </c>
      <c r="D397" t="s">
        <v>208</v>
      </c>
      <c r="E397" t="s">
        <v>60</v>
      </c>
      <c r="F397" t="s">
        <v>50</v>
      </c>
      <c r="G397" t="s">
        <v>40</v>
      </c>
      <c r="H397" t="s">
        <v>41</v>
      </c>
      <c r="I397">
        <v>4</v>
      </c>
      <c r="J397">
        <v>6000</v>
      </c>
      <c r="K397">
        <v>0.1</v>
      </c>
      <c r="L397">
        <v>21600</v>
      </c>
      <c r="M397">
        <v>16800</v>
      </c>
      <c r="N397">
        <v>4800</v>
      </c>
      <c r="O397" t="s">
        <v>23</v>
      </c>
      <c r="P397" t="s">
        <v>24</v>
      </c>
      <c r="Q397" t="str">
        <f>TEXT(Table1[[#This Row],[Order_Date]],"mmm")</f>
        <v>Oct</v>
      </c>
      <c r="R397" t="b">
        <f t="shared" si="6"/>
        <v>1</v>
      </c>
      <c r="T397" s="6">
        <f>Table1[[#This Row],[Profit]]/Table1[[#This Row],[Sales]]</f>
        <v>0.22222222222222221</v>
      </c>
    </row>
    <row r="398" spans="1:20" x14ac:dyDescent="0.3">
      <c r="A398" t="s">
        <v>493</v>
      </c>
      <c r="B398" s="17">
        <v>45686</v>
      </c>
      <c r="C398" t="s">
        <v>47</v>
      </c>
      <c r="D398" t="s">
        <v>48</v>
      </c>
      <c r="E398" t="s">
        <v>85</v>
      </c>
      <c r="F398" t="s">
        <v>78</v>
      </c>
      <c r="G398" t="s">
        <v>28</v>
      </c>
      <c r="H398" t="s">
        <v>102</v>
      </c>
      <c r="I398">
        <v>2</v>
      </c>
      <c r="J398">
        <v>900</v>
      </c>
      <c r="K398">
        <v>0.1</v>
      </c>
      <c r="L398">
        <v>1620</v>
      </c>
      <c r="M398">
        <v>1000</v>
      </c>
      <c r="N398">
        <v>620</v>
      </c>
      <c r="O398" t="s">
        <v>23</v>
      </c>
      <c r="P398" t="s">
        <v>42</v>
      </c>
      <c r="Q398" t="str">
        <f>TEXT(Table1[[#This Row],[Order_Date]],"mmm")</f>
        <v>Jan</v>
      </c>
      <c r="R398" t="b">
        <f t="shared" si="6"/>
        <v>1</v>
      </c>
      <c r="T398" s="6">
        <f>Table1[[#This Row],[Profit]]/Table1[[#This Row],[Sales]]</f>
        <v>0.38271604938271603</v>
      </c>
    </row>
    <row r="399" spans="1:20" x14ac:dyDescent="0.3">
      <c r="A399" t="s">
        <v>494</v>
      </c>
      <c r="B399" s="17">
        <v>45972</v>
      </c>
      <c r="C399" t="s">
        <v>207</v>
      </c>
      <c r="D399" t="s">
        <v>208</v>
      </c>
      <c r="E399" t="s">
        <v>49</v>
      </c>
      <c r="F399" t="s">
        <v>50</v>
      </c>
      <c r="G399" t="s">
        <v>40</v>
      </c>
      <c r="H399" t="s">
        <v>45</v>
      </c>
      <c r="I399">
        <v>2</v>
      </c>
      <c r="J399">
        <v>3500</v>
      </c>
      <c r="K399">
        <v>0</v>
      </c>
      <c r="L399">
        <v>7000</v>
      </c>
      <c r="M399">
        <v>4800</v>
      </c>
      <c r="N399">
        <v>2200</v>
      </c>
      <c r="O399" t="s">
        <v>97</v>
      </c>
      <c r="P399" t="s">
        <v>24</v>
      </c>
      <c r="Q399" t="str">
        <f>TEXT(Table1[[#This Row],[Order_Date]],"mmm")</f>
        <v>Nov</v>
      </c>
      <c r="R399" t="b">
        <f t="shared" si="6"/>
        <v>1</v>
      </c>
      <c r="T399" s="6">
        <f>Table1[[#This Row],[Profit]]/Table1[[#This Row],[Sales]]</f>
        <v>0.31428571428571428</v>
      </c>
    </row>
    <row r="400" spans="1:20" x14ac:dyDescent="0.3">
      <c r="A400" t="s">
        <v>495</v>
      </c>
      <c r="B400" s="17">
        <v>45669</v>
      </c>
      <c r="C400" t="s">
        <v>135</v>
      </c>
      <c r="D400" t="s">
        <v>136</v>
      </c>
      <c r="E400" t="s">
        <v>85</v>
      </c>
      <c r="F400" t="s">
        <v>78</v>
      </c>
      <c r="G400" t="s">
        <v>28</v>
      </c>
      <c r="H400" t="s">
        <v>102</v>
      </c>
      <c r="I400">
        <v>2</v>
      </c>
      <c r="J400">
        <v>900</v>
      </c>
      <c r="K400">
        <v>0.05</v>
      </c>
      <c r="L400">
        <v>1710</v>
      </c>
      <c r="M400">
        <v>1000</v>
      </c>
      <c r="N400">
        <v>710</v>
      </c>
      <c r="O400" t="s">
        <v>23</v>
      </c>
      <c r="P400" t="s">
        <v>42</v>
      </c>
      <c r="Q400" t="str">
        <f>TEXT(Table1[[#This Row],[Order_Date]],"mmm")</f>
        <v>Jan</v>
      </c>
      <c r="R400" t="b">
        <f t="shared" si="6"/>
        <v>1</v>
      </c>
      <c r="T400" s="6">
        <f>Table1[[#This Row],[Profit]]/Table1[[#This Row],[Sales]]</f>
        <v>0.41520467836257308</v>
      </c>
    </row>
    <row r="401" spans="1:20" x14ac:dyDescent="0.3">
      <c r="A401" t="s">
        <v>496</v>
      </c>
      <c r="B401" s="17">
        <v>46018</v>
      </c>
      <c r="C401" t="s">
        <v>122</v>
      </c>
      <c r="D401" t="s">
        <v>123</v>
      </c>
      <c r="E401" t="s">
        <v>85</v>
      </c>
      <c r="F401" t="s">
        <v>78</v>
      </c>
      <c r="G401" t="s">
        <v>40</v>
      </c>
      <c r="H401" t="s">
        <v>61</v>
      </c>
      <c r="I401">
        <v>1</v>
      </c>
      <c r="J401">
        <v>900</v>
      </c>
      <c r="K401">
        <v>0.05</v>
      </c>
      <c r="L401">
        <v>855</v>
      </c>
      <c r="M401">
        <v>500</v>
      </c>
      <c r="N401">
        <v>355</v>
      </c>
      <c r="O401" t="s">
        <v>58</v>
      </c>
      <c r="P401" t="s">
        <v>24</v>
      </c>
      <c r="Q401" t="str">
        <f>TEXT(Table1[[#This Row],[Order_Date]],"mmm")</f>
        <v>Dec</v>
      </c>
      <c r="R401" t="b">
        <f t="shared" si="6"/>
        <v>1</v>
      </c>
      <c r="T401" s="6">
        <f>Table1[[#This Row],[Profit]]/Table1[[#This Row],[Sales]]</f>
        <v>0.41520467836257308</v>
      </c>
    </row>
    <row r="402" spans="1:20" x14ac:dyDescent="0.3">
      <c r="A402" t="s">
        <v>497</v>
      </c>
      <c r="B402" s="17">
        <v>45881</v>
      </c>
      <c r="C402" t="s">
        <v>90</v>
      </c>
      <c r="D402" t="s">
        <v>91</v>
      </c>
      <c r="E402" t="s">
        <v>77</v>
      </c>
      <c r="F402" t="s">
        <v>78</v>
      </c>
      <c r="G402" t="s">
        <v>21</v>
      </c>
      <c r="H402" t="s">
        <v>95</v>
      </c>
      <c r="I402">
        <v>3</v>
      </c>
      <c r="J402">
        <v>1800</v>
      </c>
      <c r="K402">
        <v>0.15</v>
      </c>
      <c r="L402">
        <v>4590</v>
      </c>
      <c r="M402">
        <v>3300</v>
      </c>
      <c r="N402">
        <v>1290</v>
      </c>
      <c r="O402" t="s">
        <v>97</v>
      </c>
      <c r="P402" t="s">
        <v>24</v>
      </c>
      <c r="Q402" t="str">
        <f>TEXT(Table1[[#This Row],[Order_Date]],"mmm")</f>
        <v>Aug</v>
      </c>
      <c r="R402" t="b">
        <f t="shared" si="6"/>
        <v>1</v>
      </c>
      <c r="T402" s="6">
        <f>Table1[[#This Row],[Profit]]/Table1[[#This Row],[Sales]]</f>
        <v>0.28104575163398693</v>
      </c>
    </row>
    <row r="403" spans="1:20" x14ac:dyDescent="0.3">
      <c r="A403" t="s">
        <v>498</v>
      </c>
      <c r="B403" s="17">
        <v>45998</v>
      </c>
      <c r="C403" t="s">
        <v>113</v>
      </c>
      <c r="D403" t="s">
        <v>114</v>
      </c>
      <c r="E403" t="s">
        <v>60</v>
      </c>
      <c r="F403" t="s">
        <v>50</v>
      </c>
      <c r="G403" t="s">
        <v>35</v>
      </c>
      <c r="H403" t="s">
        <v>57</v>
      </c>
      <c r="I403">
        <v>2</v>
      </c>
      <c r="J403">
        <v>6000</v>
      </c>
      <c r="K403">
        <v>0.05</v>
      </c>
      <c r="L403">
        <v>11400</v>
      </c>
      <c r="M403">
        <v>8400</v>
      </c>
      <c r="N403">
        <v>3000</v>
      </c>
      <c r="O403" t="s">
        <v>58</v>
      </c>
      <c r="P403" t="s">
        <v>24</v>
      </c>
      <c r="Q403" t="str">
        <f>TEXT(Table1[[#This Row],[Order_Date]],"mmm")</f>
        <v>Dec</v>
      </c>
      <c r="R403" t="b">
        <f t="shared" si="6"/>
        <v>1</v>
      </c>
      <c r="T403" s="6">
        <f>Table1[[#This Row],[Profit]]/Table1[[#This Row],[Sales]]</f>
        <v>0.26315789473684209</v>
      </c>
    </row>
    <row r="404" spans="1:20" x14ac:dyDescent="0.3">
      <c r="A404" t="s">
        <v>499</v>
      </c>
      <c r="B404" s="17">
        <v>45658</v>
      </c>
      <c r="C404" t="s">
        <v>113</v>
      </c>
      <c r="D404" t="s">
        <v>114</v>
      </c>
      <c r="E404" t="s">
        <v>33</v>
      </c>
      <c r="F404" t="s">
        <v>34</v>
      </c>
      <c r="G404" t="s">
        <v>28</v>
      </c>
      <c r="H404" t="s">
        <v>29</v>
      </c>
      <c r="I404">
        <v>5</v>
      </c>
      <c r="J404">
        <v>7000</v>
      </c>
      <c r="K404">
        <v>0.15</v>
      </c>
      <c r="L404">
        <v>29750</v>
      </c>
      <c r="M404">
        <v>24000</v>
      </c>
      <c r="N404">
        <v>5750</v>
      </c>
      <c r="O404" t="s">
        <v>97</v>
      </c>
      <c r="P404" t="s">
        <v>24</v>
      </c>
      <c r="Q404" t="str">
        <f>TEXT(Table1[[#This Row],[Order_Date]],"mmm")</f>
        <v>Jan</v>
      </c>
      <c r="R404" t="b">
        <f t="shared" si="6"/>
        <v>1</v>
      </c>
      <c r="T404" s="6">
        <f>Table1[[#This Row],[Profit]]/Table1[[#This Row],[Sales]]</f>
        <v>0.19327731092436976</v>
      </c>
    </row>
    <row r="405" spans="1:20" x14ac:dyDescent="0.3">
      <c r="A405" t="s">
        <v>500</v>
      </c>
      <c r="B405" s="17">
        <v>45985</v>
      </c>
      <c r="C405" t="s">
        <v>113</v>
      </c>
      <c r="D405" t="s">
        <v>114</v>
      </c>
      <c r="E405" t="s">
        <v>88</v>
      </c>
      <c r="F405" t="s">
        <v>20</v>
      </c>
      <c r="G405" t="s">
        <v>21</v>
      </c>
      <c r="H405" t="s">
        <v>86</v>
      </c>
      <c r="I405">
        <v>4</v>
      </c>
      <c r="J405">
        <v>25000</v>
      </c>
      <c r="K405">
        <v>0</v>
      </c>
      <c r="L405">
        <v>100000</v>
      </c>
      <c r="M405">
        <v>82000</v>
      </c>
      <c r="N405">
        <v>18000</v>
      </c>
      <c r="O405" t="s">
        <v>58</v>
      </c>
      <c r="P405" t="s">
        <v>42</v>
      </c>
      <c r="Q405" t="str">
        <f>TEXT(Table1[[#This Row],[Order_Date]],"mmm")</f>
        <v>Nov</v>
      </c>
      <c r="R405" t="b">
        <f t="shared" si="6"/>
        <v>1</v>
      </c>
      <c r="T405" s="6">
        <f>Table1[[#This Row],[Profit]]/Table1[[#This Row],[Sales]]</f>
        <v>0.18</v>
      </c>
    </row>
    <row r="406" spans="1:20" x14ac:dyDescent="0.3">
      <c r="A406" t="s">
        <v>501</v>
      </c>
      <c r="B406" s="17">
        <v>45821</v>
      </c>
      <c r="C406" t="s">
        <v>71</v>
      </c>
      <c r="D406" t="s">
        <v>72</v>
      </c>
      <c r="E406" t="s">
        <v>77</v>
      </c>
      <c r="F406" t="s">
        <v>78</v>
      </c>
      <c r="G406" t="s">
        <v>40</v>
      </c>
      <c r="H406" t="s">
        <v>61</v>
      </c>
      <c r="I406">
        <v>1</v>
      </c>
      <c r="J406">
        <v>1800</v>
      </c>
      <c r="K406">
        <v>0</v>
      </c>
      <c r="L406">
        <v>1800</v>
      </c>
      <c r="M406">
        <v>1100</v>
      </c>
      <c r="N406">
        <v>700</v>
      </c>
      <c r="O406" t="s">
        <v>97</v>
      </c>
      <c r="P406" t="s">
        <v>24</v>
      </c>
      <c r="Q406" t="str">
        <f>TEXT(Table1[[#This Row],[Order_Date]],"mmm")</f>
        <v>Jun</v>
      </c>
      <c r="R406" t="b">
        <f t="shared" si="6"/>
        <v>1</v>
      </c>
      <c r="T406" s="6">
        <f>Table1[[#This Row],[Profit]]/Table1[[#This Row],[Sales]]</f>
        <v>0.3888888888888889</v>
      </c>
    </row>
    <row r="407" spans="1:20" x14ac:dyDescent="0.3">
      <c r="A407" t="s">
        <v>502</v>
      </c>
      <c r="B407" s="17">
        <v>45785</v>
      </c>
      <c r="C407" t="s">
        <v>119</v>
      </c>
      <c r="D407" t="s">
        <v>120</v>
      </c>
      <c r="E407" t="s">
        <v>38</v>
      </c>
      <c r="F407" t="s">
        <v>34</v>
      </c>
      <c r="G407" t="s">
        <v>28</v>
      </c>
      <c r="H407" t="s">
        <v>102</v>
      </c>
      <c r="I407">
        <v>3</v>
      </c>
      <c r="J407">
        <v>12000</v>
      </c>
      <c r="K407">
        <v>0</v>
      </c>
      <c r="L407">
        <v>36000</v>
      </c>
      <c r="M407">
        <v>25500</v>
      </c>
      <c r="N407">
        <v>10500</v>
      </c>
      <c r="O407" t="s">
        <v>23</v>
      </c>
      <c r="P407" t="s">
        <v>42</v>
      </c>
      <c r="Q407" t="str">
        <f>TEXT(Table1[[#This Row],[Order_Date]],"mmm")</f>
        <v>May</v>
      </c>
      <c r="R407" t="b">
        <f t="shared" si="6"/>
        <v>1</v>
      </c>
      <c r="T407" s="6">
        <f>Table1[[#This Row],[Profit]]/Table1[[#This Row],[Sales]]</f>
        <v>0.29166666666666669</v>
      </c>
    </row>
    <row r="408" spans="1:20" x14ac:dyDescent="0.3">
      <c r="A408" t="s">
        <v>503</v>
      </c>
      <c r="B408" s="17">
        <v>45882</v>
      </c>
      <c r="C408" t="s">
        <v>26</v>
      </c>
      <c r="D408" t="s">
        <v>27</v>
      </c>
      <c r="E408" t="s">
        <v>55</v>
      </c>
      <c r="F408" t="s">
        <v>20</v>
      </c>
      <c r="G408" t="s">
        <v>35</v>
      </c>
      <c r="H408" t="s">
        <v>57</v>
      </c>
      <c r="I408">
        <v>4</v>
      </c>
      <c r="J408">
        <v>2500</v>
      </c>
      <c r="K408">
        <v>0.05</v>
      </c>
      <c r="L408">
        <v>9500</v>
      </c>
      <c r="M408">
        <v>6800</v>
      </c>
      <c r="N408">
        <v>2700</v>
      </c>
      <c r="O408" t="s">
        <v>51</v>
      </c>
      <c r="P408" t="s">
        <v>24</v>
      </c>
      <c r="Q408" t="str">
        <f>TEXT(Table1[[#This Row],[Order_Date]],"mmm")</f>
        <v>Aug</v>
      </c>
      <c r="R408" t="b">
        <f t="shared" si="6"/>
        <v>1</v>
      </c>
      <c r="T408" s="6">
        <f>Table1[[#This Row],[Profit]]/Table1[[#This Row],[Sales]]</f>
        <v>0.28421052631578947</v>
      </c>
    </row>
    <row r="409" spans="1:20" x14ac:dyDescent="0.3">
      <c r="A409" t="s">
        <v>504</v>
      </c>
      <c r="B409" s="17">
        <v>45903</v>
      </c>
      <c r="C409" t="s">
        <v>113</v>
      </c>
      <c r="D409" t="s">
        <v>114</v>
      </c>
      <c r="E409" t="s">
        <v>77</v>
      </c>
      <c r="F409" t="s">
        <v>78</v>
      </c>
      <c r="G409" t="s">
        <v>21</v>
      </c>
      <c r="H409" t="s">
        <v>86</v>
      </c>
      <c r="I409">
        <v>2</v>
      </c>
      <c r="J409">
        <v>1800</v>
      </c>
      <c r="K409">
        <v>0</v>
      </c>
      <c r="L409">
        <v>3600</v>
      </c>
      <c r="M409">
        <v>2200</v>
      </c>
      <c r="N409">
        <v>1400</v>
      </c>
      <c r="O409" t="s">
        <v>23</v>
      </c>
      <c r="P409" t="s">
        <v>42</v>
      </c>
      <c r="Q409" t="str">
        <f>TEXT(Table1[[#This Row],[Order_Date]],"mmm")</f>
        <v>Sep</v>
      </c>
      <c r="R409" t="b">
        <f t="shared" si="6"/>
        <v>1</v>
      </c>
      <c r="T409" s="6">
        <f>Table1[[#This Row],[Profit]]/Table1[[#This Row],[Sales]]</f>
        <v>0.3888888888888889</v>
      </c>
    </row>
    <row r="410" spans="1:20" x14ac:dyDescent="0.3">
      <c r="A410" t="s">
        <v>505</v>
      </c>
      <c r="B410" s="17">
        <v>45668</v>
      </c>
      <c r="C410" t="s">
        <v>63</v>
      </c>
      <c r="D410" t="s">
        <v>64</v>
      </c>
      <c r="E410" t="s">
        <v>44</v>
      </c>
      <c r="F410" t="s">
        <v>34</v>
      </c>
      <c r="G410" t="s">
        <v>28</v>
      </c>
      <c r="H410" t="s">
        <v>73</v>
      </c>
      <c r="I410">
        <v>1</v>
      </c>
      <c r="J410">
        <v>8000</v>
      </c>
      <c r="K410">
        <v>0</v>
      </c>
      <c r="L410">
        <v>8000</v>
      </c>
      <c r="M410">
        <v>5600</v>
      </c>
      <c r="N410">
        <v>2400</v>
      </c>
      <c r="O410" t="s">
        <v>51</v>
      </c>
      <c r="P410" t="s">
        <v>24</v>
      </c>
      <c r="Q410" t="str">
        <f>TEXT(Table1[[#This Row],[Order_Date]],"mmm")</f>
        <v>Jan</v>
      </c>
      <c r="R410" t="b">
        <f t="shared" si="6"/>
        <v>1</v>
      </c>
      <c r="T410" s="6">
        <f>Table1[[#This Row],[Profit]]/Table1[[#This Row],[Sales]]</f>
        <v>0.3</v>
      </c>
    </row>
    <row r="411" spans="1:20" x14ac:dyDescent="0.3">
      <c r="A411" t="s">
        <v>506</v>
      </c>
      <c r="B411" s="17">
        <v>45696</v>
      </c>
      <c r="C411" t="s">
        <v>31</v>
      </c>
      <c r="D411" t="s">
        <v>32</v>
      </c>
      <c r="E411" t="s">
        <v>88</v>
      </c>
      <c r="F411" t="s">
        <v>20</v>
      </c>
      <c r="G411" t="s">
        <v>35</v>
      </c>
      <c r="H411" t="s">
        <v>36</v>
      </c>
      <c r="I411">
        <v>3</v>
      </c>
      <c r="J411">
        <v>25000</v>
      </c>
      <c r="K411">
        <v>0</v>
      </c>
      <c r="L411">
        <v>75000</v>
      </c>
      <c r="M411">
        <v>61500</v>
      </c>
      <c r="N411">
        <v>13500</v>
      </c>
      <c r="O411" t="s">
        <v>51</v>
      </c>
      <c r="P411" t="s">
        <v>24</v>
      </c>
      <c r="Q411" t="str">
        <f>TEXT(Table1[[#This Row],[Order_Date]],"mmm")</f>
        <v>Feb</v>
      </c>
      <c r="R411" t="b">
        <f t="shared" si="6"/>
        <v>1</v>
      </c>
      <c r="T411" s="6">
        <f>Table1[[#This Row],[Profit]]/Table1[[#This Row],[Sales]]</f>
        <v>0.18</v>
      </c>
    </row>
    <row r="412" spans="1:20" x14ac:dyDescent="0.3">
      <c r="A412" t="s">
        <v>507</v>
      </c>
      <c r="B412" s="17">
        <v>45968</v>
      </c>
      <c r="C412" t="s">
        <v>26</v>
      </c>
      <c r="D412" t="s">
        <v>27</v>
      </c>
      <c r="E412" t="s">
        <v>55</v>
      </c>
      <c r="F412" t="s">
        <v>20</v>
      </c>
      <c r="G412" t="s">
        <v>28</v>
      </c>
      <c r="H412" t="s">
        <v>73</v>
      </c>
      <c r="I412">
        <v>1</v>
      </c>
      <c r="J412">
        <v>2500</v>
      </c>
      <c r="K412">
        <v>0</v>
      </c>
      <c r="L412">
        <v>2500</v>
      </c>
      <c r="M412">
        <v>1700</v>
      </c>
      <c r="N412">
        <v>800</v>
      </c>
      <c r="O412" t="s">
        <v>58</v>
      </c>
      <c r="P412" t="s">
        <v>42</v>
      </c>
      <c r="Q412" t="str">
        <f>TEXT(Table1[[#This Row],[Order_Date]],"mmm")</f>
        <v>Nov</v>
      </c>
      <c r="R412" t="b">
        <f t="shared" si="6"/>
        <v>1</v>
      </c>
      <c r="T412" s="6">
        <f>Table1[[#This Row],[Profit]]/Table1[[#This Row],[Sales]]</f>
        <v>0.32</v>
      </c>
    </row>
    <row r="413" spans="1:20" x14ac:dyDescent="0.3">
      <c r="A413" t="s">
        <v>508</v>
      </c>
      <c r="B413" s="17">
        <v>46014</v>
      </c>
      <c r="C413" t="s">
        <v>31</v>
      </c>
      <c r="D413" t="s">
        <v>32</v>
      </c>
      <c r="E413" t="s">
        <v>67</v>
      </c>
      <c r="F413" t="s">
        <v>50</v>
      </c>
      <c r="G413" t="s">
        <v>40</v>
      </c>
      <c r="H413" t="s">
        <v>45</v>
      </c>
      <c r="I413">
        <v>5</v>
      </c>
      <c r="J413">
        <v>4500</v>
      </c>
      <c r="K413">
        <v>0.05</v>
      </c>
      <c r="L413">
        <v>21375</v>
      </c>
      <c r="M413">
        <v>15500</v>
      </c>
      <c r="N413">
        <v>5875</v>
      </c>
      <c r="O413" t="s">
        <v>97</v>
      </c>
      <c r="P413" t="s">
        <v>24</v>
      </c>
      <c r="Q413" t="str">
        <f>TEXT(Table1[[#This Row],[Order_Date]],"mmm")</f>
        <v>Dec</v>
      </c>
      <c r="R413" t="b">
        <f t="shared" si="6"/>
        <v>1</v>
      </c>
      <c r="T413" s="6">
        <f>Table1[[#This Row],[Profit]]/Table1[[#This Row],[Sales]]</f>
        <v>0.27485380116959063</v>
      </c>
    </row>
    <row r="414" spans="1:20" x14ac:dyDescent="0.3">
      <c r="A414" t="s">
        <v>509</v>
      </c>
      <c r="B414" s="17">
        <v>45707</v>
      </c>
      <c r="C414" t="s">
        <v>100</v>
      </c>
      <c r="D414" t="s">
        <v>101</v>
      </c>
      <c r="E414" t="s">
        <v>33</v>
      </c>
      <c r="F414" t="s">
        <v>34</v>
      </c>
      <c r="G414" t="s">
        <v>35</v>
      </c>
      <c r="H414" t="s">
        <v>69</v>
      </c>
      <c r="I414">
        <v>5</v>
      </c>
      <c r="J414">
        <v>7000</v>
      </c>
      <c r="K414">
        <v>0</v>
      </c>
      <c r="L414">
        <v>35000</v>
      </c>
      <c r="M414">
        <v>24000</v>
      </c>
      <c r="N414">
        <v>11000</v>
      </c>
      <c r="O414" t="s">
        <v>97</v>
      </c>
      <c r="P414" t="s">
        <v>24</v>
      </c>
      <c r="Q414" t="str">
        <f>TEXT(Table1[[#This Row],[Order_Date]],"mmm")</f>
        <v>Feb</v>
      </c>
      <c r="R414" t="b">
        <f t="shared" si="6"/>
        <v>1</v>
      </c>
      <c r="T414" s="6">
        <f>Table1[[#This Row],[Profit]]/Table1[[#This Row],[Sales]]</f>
        <v>0.31428571428571428</v>
      </c>
    </row>
    <row r="415" spans="1:20" x14ac:dyDescent="0.3">
      <c r="A415" t="s">
        <v>510</v>
      </c>
      <c r="B415" s="17">
        <v>45876</v>
      </c>
      <c r="C415" t="s">
        <v>119</v>
      </c>
      <c r="D415" t="s">
        <v>120</v>
      </c>
      <c r="E415" t="s">
        <v>44</v>
      </c>
      <c r="F415" t="s">
        <v>34</v>
      </c>
      <c r="G415" t="s">
        <v>35</v>
      </c>
      <c r="H415" t="s">
        <v>69</v>
      </c>
      <c r="I415">
        <v>5</v>
      </c>
      <c r="J415">
        <v>8000</v>
      </c>
      <c r="K415">
        <v>0</v>
      </c>
      <c r="L415">
        <v>40000</v>
      </c>
      <c r="M415">
        <v>28000</v>
      </c>
      <c r="N415">
        <v>12000</v>
      </c>
      <c r="O415" t="s">
        <v>23</v>
      </c>
      <c r="P415" t="s">
        <v>24</v>
      </c>
      <c r="Q415" t="str">
        <f>TEXT(Table1[[#This Row],[Order_Date]],"mmm")</f>
        <v>Aug</v>
      </c>
      <c r="R415" t="b">
        <f t="shared" si="6"/>
        <v>1</v>
      </c>
      <c r="T415" s="6">
        <f>Table1[[#This Row],[Profit]]/Table1[[#This Row],[Sales]]</f>
        <v>0.3</v>
      </c>
    </row>
    <row r="416" spans="1:20" x14ac:dyDescent="0.3">
      <c r="A416" t="s">
        <v>511</v>
      </c>
      <c r="B416" s="17">
        <v>45745</v>
      </c>
      <c r="C416" t="s">
        <v>128</v>
      </c>
      <c r="D416" t="s">
        <v>129</v>
      </c>
      <c r="E416" t="s">
        <v>88</v>
      </c>
      <c r="F416" t="s">
        <v>20</v>
      </c>
      <c r="G416" t="s">
        <v>28</v>
      </c>
      <c r="H416" t="s">
        <v>73</v>
      </c>
      <c r="I416">
        <v>4</v>
      </c>
      <c r="J416">
        <v>25000</v>
      </c>
      <c r="K416">
        <v>0.1</v>
      </c>
      <c r="L416">
        <v>90000</v>
      </c>
      <c r="M416">
        <v>82000</v>
      </c>
      <c r="N416">
        <v>8000</v>
      </c>
      <c r="O416" t="s">
        <v>51</v>
      </c>
      <c r="P416" t="s">
        <v>42</v>
      </c>
      <c r="Q416" t="str">
        <f>TEXT(Table1[[#This Row],[Order_Date]],"mmm")</f>
        <v>Mar</v>
      </c>
      <c r="R416" t="b">
        <f t="shared" si="6"/>
        <v>1</v>
      </c>
      <c r="T416" s="6">
        <f>Table1[[#This Row],[Profit]]/Table1[[#This Row],[Sales]]</f>
        <v>8.8888888888888892E-2</v>
      </c>
    </row>
    <row r="417" spans="1:20" x14ac:dyDescent="0.3">
      <c r="A417" t="s">
        <v>512</v>
      </c>
      <c r="B417" s="17">
        <v>45996</v>
      </c>
      <c r="C417" t="s">
        <v>132</v>
      </c>
      <c r="D417" t="s">
        <v>133</v>
      </c>
      <c r="E417" t="s">
        <v>88</v>
      </c>
      <c r="F417" t="s">
        <v>20</v>
      </c>
      <c r="G417" t="s">
        <v>35</v>
      </c>
      <c r="H417" t="s">
        <v>69</v>
      </c>
      <c r="I417">
        <v>5</v>
      </c>
      <c r="J417">
        <v>25000</v>
      </c>
      <c r="K417">
        <v>0.05</v>
      </c>
      <c r="L417">
        <v>118750</v>
      </c>
      <c r="M417">
        <v>102500</v>
      </c>
      <c r="N417">
        <v>16250</v>
      </c>
      <c r="O417" t="s">
        <v>51</v>
      </c>
      <c r="P417" t="s">
        <v>42</v>
      </c>
      <c r="Q417" t="str">
        <f>TEXT(Table1[[#This Row],[Order_Date]],"mmm")</f>
        <v>Dec</v>
      </c>
      <c r="R417" t="b">
        <f t="shared" si="6"/>
        <v>1</v>
      </c>
      <c r="T417" s="6">
        <f>Table1[[#This Row],[Profit]]/Table1[[#This Row],[Sales]]</f>
        <v>0.1368421052631579</v>
      </c>
    </row>
    <row r="418" spans="1:20" x14ac:dyDescent="0.3">
      <c r="A418" t="s">
        <v>513</v>
      </c>
      <c r="B418" s="17">
        <v>45753</v>
      </c>
      <c r="C418" t="s">
        <v>107</v>
      </c>
      <c r="D418" t="s">
        <v>108</v>
      </c>
      <c r="E418" t="s">
        <v>19</v>
      </c>
      <c r="F418" t="s">
        <v>20</v>
      </c>
      <c r="G418" t="s">
        <v>35</v>
      </c>
      <c r="H418" t="s">
        <v>57</v>
      </c>
      <c r="I418">
        <v>3</v>
      </c>
      <c r="J418">
        <v>55000</v>
      </c>
      <c r="K418">
        <v>0.05</v>
      </c>
      <c r="L418">
        <v>156750</v>
      </c>
      <c r="M418">
        <v>135000</v>
      </c>
      <c r="N418">
        <v>21750</v>
      </c>
      <c r="O418" t="s">
        <v>58</v>
      </c>
      <c r="P418" t="s">
        <v>42</v>
      </c>
      <c r="Q418" t="str">
        <f>TEXT(Table1[[#This Row],[Order_Date]],"mmm")</f>
        <v>Apr</v>
      </c>
      <c r="R418" t="b">
        <f t="shared" si="6"/>
        <v>1</v>
      </c>
      <c r="T418" s="6">
        <f>Table1[[#This Row],[Profit]]/Table1[[#This Row],[Sales]]</f>
        <v>0.13875598086124402</v>
      </c>
    </row>
    <row r="419" spans="1:20" x14ac:dyDescent="0.3">
      <c r="A419" t="s">
        <v>514</v>
      </c>
      <c r="B419" s="17">
        <v>45946</v>
      </c>
      <c r="C419" t="s">
        <v>100</v>
      </c>
      <c r="D419" t="s">
        <v>101</v>
      </c>
      <c r="E419" t="s">
        <v>55</v>
      </c>
      <c r="F419" t="s">
        <v>20</v>
      </c>
      <c r="G419" t="s">
        <v>28</v>
      </c>
      <c r="H419" t="s">
        <v>102</v>
      </c>
      <c r="I419">
        <v>1</v>
      </c>
      <c r="J419">
        <v>2500</v>
      </c>
      <c r="K419">
        <v>0.05</v>
      </c>
      <c r="L419">
        <v>2375</v>
      </c>
      <c r="M419">
        <v>1700</v>
      </c>
      <c r="N419">
        <v>675</v>
      </c>
      <c r="O419" t="s">
        <v>51</v>
      </c>
      <c r="P419" t="s">
        <v>24</v>
      </c>
      <c r="Q419" t="str">
        <f>TEXT(Table1[[#This Row],[Order_Date]],"mmm")</f>
        <v>Oct</v>
      </c>
      <c r="R419" t="b">
        <f t="shared" si="6"/>
        <v>1</v>
      </c>
      <c r="T419" s="6">
        <f>Table1[[#This Row],[Profit]]/Table1[[#This Row],[Sales]]</f>
        <v>0.28421052631578947</v>
      </c>
    </row>
    <row r="420" spans="1:20" x14ac:dyDescent="0.3">
      <c r="A420" t="s">
        <v>515</v>
      </c>
      <c r="B420" s="17">
        <v>45941</v>
      </c>
      <c r="C420" t="s">
        <v>100</v>
      </c>
      <c r="D420" t="s">
        <v>101</v>
      </c>
      <c r="E420" t="s">
        <v>60</v>
      </c>
      <c r="F420" t="s">
        <v>50</v>
      </c>
      <c r="G420" t="s">
        <v>35</v>
      </c>
      <c r="H420" t="s">
        <v>36</v>
      </c>
      <c r="I420">
        <v>4</v>
      </c>
      <c r="J420">
        <v>6000</v>
      </c>
      <c r="K420">
        <v>0.1</v>
      </c>
      <c r="L420">
        <v>21600</v>
      </c>
      <c r="M420">
        <v>16800</v>
      </c>
      <c r="N420">
        <v>4800</v>
      </c>
      <c r="O420" t="s">
        <v>58</v>
      </c>
      <c r="P420" t="s">
        <v>42</v>
      </c>
      <c r="Q420" t="str">
        <f>TEXT(Table1[[#This Row],[Order_Date]],"mmm")</f>
        <v>Oct</v>
      </c>
      <c r="R420" t="b">
        <f t="shared" si="6"/>
        <v>1</v>
      </c>
      <c r="T420" s="6">
        <f>Table1[[#This Row],[Profit]]/Table1[[#This Row],[Sales]]</f>
        <v>0.22222222222222221</v>
      </c>
    </row>
    <row r="421" spans="1:20" x14ac:dyDescent="0.3">
      <c r="A421" t="s">
        <v>516</v>
      </c>
      <c r="B421" s="17">
        <v>45811</v>
      </c>
      <c r="C421" t="s">
        <v>119</v>
      </c>
      <c r="D421" t="s">
        <v>120</v>
      </c>
      <c r="E421" t="s">
        <v>33</v>
      </c>
      <c r="F421" t="s">
        <v>34</v>
      </c>
      <c r="G421" t="s">
        <v>21</v>
      </c>
      <c r="H421" t="s">
        <v>22</v>
      </c>
      <c r="I421">
        <v>1</v>
      </c>
      <c r="J421">
        <v>7000</v>
      </c>
      <c r="K421">
        <v>0.1</v>
      </c>
      <c r="L421">
        <v>6300</v>
      </c>
      <c r="M421">
        <v>4800</v>
      </c>
      <c r="N421">
        <v>1500</v>
      </c>
      <c r="O421" t="s">
        <v>58</v>
      </c>
      <c r="P421" t="s">
        <v>24</v>
      </c>
      <c r="Q421" t="str">
        <f>TEXT(Table1[[#This Row],[Order_Date]],"mmm")</f>
        <v>Jun</v>
      </c>
      <c r="R421" t="b">
        <f t="shared" si="6"/>
        <v>1</v>
      </c>
      <c r="T421" s="6">
        <f>Table1[[#This Row],[Profit]]/Table1[[#This Row],[Sales]]</f>
        <v>0.23809523809523808</v>
      </c>
    </row>
    <row r="422" spans="1:20" x14ac:dyDescent="0.3">
      <c r="A422" t="s">
        <v>517</v>
      </c>
      <c r="B422" s="17">
        <v>45766</v>
      </c>
      <c r="C422" t="s">
        <v>207</v>
      </c>
      <c r="D422" t="s">
        <v>208</v>
      </c>
      <c r="E422" t="s">
        <v>55</v>
      </c>
      <c r="F422" t="s">
        <v>20</v>
      </c>
      <c r="G422" t="s">
        <v>35</v>
      </c>
      <c r="H422" t="s">
        <v>69</v>
      </c>
      <c r="I422">
        <v>1</v>
      </c>
      <c r="J422">
        <v>2500</v>
      </c>
      <c r="K422">
        <v>0.1</v>
      </c>
      <c r="L422">
        <v>2250</v>
      </c>
      <c r="M422">
        <v>1700</v>
      </c>
      <c r="N422">
        <v>550</v>
      </c>
      <c r="O422" t="s">
        <v>58</v>
      </c>
      <c r="P422" t="s">
        <v>24</v>
      </c>
      <c r="Q422" t="str">
        <f>TEXT(Table1[[#This Row],[Order_Date]],"mmm")</f>
        <v>Apr</v>
      </c>
      <c r="R422" t="b">
        <f t="shared" si="6"/>
        <v>1</v>
      </c>
      <c r="T422" s="6">
        <f>Table1[[#This Row],[Profit]]/Table1[[#This Row],[Sales]]</f>
        <v>0.24444444444444444</v>
      </c>
    </row>
    <row r="423" spans="1:20" x14ac:dyDescent="0.3">
      <c r="A423" t="s">
        <v>518</v>
      </c>
      <c r="B423" s="17">
        <v>45962</v>
      </c>
      <c r="C423" t="s">
        <v>132</v>
      </c>
      <c r="D423" t="s">
        <v>133</v>
      </c>
      <c r="E423" t="s">
        <v>38</v>
      </c>
      <c r="F423" t="s">
        <v>34</v>
      </c>
      <c r="G423" t="s">
        <v>28</v>
      </c>
      <c r="H423" t="s">
        <v>73</v>
      </c>
      <c r="I423">
        <v>1</v>
      </c>
      <c r="J423">
        <v>12000</v>
      </c>
      <c r="K423">
        <v>0.15</v>
      </c>
      <c r="L423">
        <v>10200</v>
      </c>
      <c r="M423">
        <v>8500</v>
      </c>
      <c r="N423">
        <v>1700</v>
      </c>
      <c r="O423" t="s">
        <v>51</v>
      </c>
      <c r="P423" t="s">
        <v>42</v>
      </c>
      <c r="Q423" t="str">
        <f>TEXT(Table1[[#This Row],[Order_Date]],"mmm")</f>
        <v>Nov</v>
      </c>
      <c r="R423" t="b">
        <f t="shared" si="6"/>
        <v>1</v>
      </c>
      <c r="T423" s="6">
        <f>Table1[[#This Row],[Profit]]/Table1[[#This Row],[Sales]]</f>
        <v>0.16666666666666666</v>
      </c>
    </row>
    <row r="424" spans="1:20" x14ac:dyDescent="0.3">
      <c r="A424" t="s">
        <v>519</v>
      </c>
      <c r="B424" s="17">
        <v>45799</v>
      </c>
      <c r="C424" t="s">
        <v>83</v>
      </c>
      <c r="D424" t="s">
        <v>84</v>
      </c>
      <c r="E424" t="s">
        <v>80</v>
      </c>
      <c r="F424" t="s">
        <v>81</v>
      </c>
      <c r="G424" t="s">
        <v>35</v>
      </c>
      <c r="H424" t="s">
        <v>69</v>
      </c>
      <c r="I424">
        <v>1</v>
      </c>
      <c r="J424">
        <v>1800</v>
      </c>
      <c r="K424">
        <v>0.1</v>
      </c>
      <c r="L424">
        <v>1620</v>
      </c>
      <c r="M424">
        <v>1100</v>
      </c>
      <c r="N424">
        <v>520</v>
      </c>
      <c r="O424" t="s">
        <v>58</v>
      </c>
      <c r="P424" t="s">
        <v>24</v>
      </c>
      <c r="Q424" t="str">
        <f>TEXT(Table1[[#This Row],[Order_Date]],"mmm")</f>
        <v>May</v>
      </c>
      <c r="R424" t="b">
        <f t="shared" si="6"/>
        <v>1</v>
      </c>
      <c r="T424" s="6">
        <f>Table1[[#This Row],[Profit]]/Table1[[#This Row],[Sales]]</f>
        <v>0.32098765432098764</v>
      </c>
    </row>
    <row r="425" spans="1:20" x14ac:dyDescent="0.3">
      <c r="A425" t="s">
        <v>520</v>
      </c>
      <c r="B425" s="17">
        <v>45948</v>
      </c>
      <c r="C425" t="s">
        <v>113</v>
      </c>
      <c r="D425" t="s">
        <v>114</v>
      </c>
      <c r="E425" t="s">
        <v>85</v>
      </c>
      <c r="F425" t="s">
        <v>78</v>
      </c>
      <c r="G425" t="s">
        <v>28</v>
      </c>
      <c r="H425" t="s">
        <v>102</v>
      </c>
      <c r="I425">
        <v>1</v>
      </c>
      <c r="J425">
        <v>900</v>
      </c>
      <c r="K425">
        <v>0</v>
      </c>
      <c r="L425">
        <v>900</v>
      </c>
      <c r="M425">
        <v>500</v>
      </c>
      <c r="N425">
        <v>400</v>
      </c>
      <c r="O425" t="s">
        <v>97</v>
      </c>
      <c r="P425" t="s">
        <v>42</v>
      </c>
      <c r="Q425" t="str">
        <f>TEXT(Table1[[#This Row],[Order_Date]],"mmm")</f>
        <v>Oct</v>
      </c>
      <c r="R425" t="b">
        <f t="shared" si="6"/>
        <v>1</v>
      </c>
      <c r="T425" s="6">
        <f>Table1[[#This Row],[Profit]]/Table1[[#This Row],[Sales]]</f>
        <v>0.44444444444444442</v>
      </c>
    </row>
    <row r="426" spans="1:20" x14ac:dyDescent="0.3">
      <c r="A426" t="s">
        <v>521</v>
      </c>
      <c r="B426" s="17">
        <v>45868</v>
      </c>
      <c r="C426" t="s">
        <v>132</v>
      </c>
      <c r="D426" t="s">
        <v>133</v>
      </c>
      <c r="E426" t="s">
        <v>33</v>
      </c>
      <c r="F426" t="s">
        <v>34</v>
      </c>
      <c r="G426" t="s">
        <v>35</v>
      </c>
      <c r="H426" t="s">
        <v>69</v>
      </c>
      <c r="I426">
        <v>4</v>
      </c>
      <c r="J426">
        <v>7000</v>
      </c>
      <c r="K426">
        <v>0</v>
      </c>
      <c r="L426">
        <v>28000</v>
      </c>
      <c r="M426">
        <v>19200</v>
      </c>
      <c r="N426">
        <v>8800</v>
      </c>
      <c r="O426" t="s">
        <v>97</v>
      </c>
      <c r="P426" t="s">
        <v>42</v>
      </c>
      <c r="Q426" t="str">
        <f>TEXT(Table1[[#This Row],[Order_Date]],"mmm")</f>
        <v>Jul</v>
      </c>
      <c r="R426" t="b">
        <f t="shared" si="6"/>
        <v>1</v>
      </c>
      <c r="T426" s="6">
        <f>Table1[[#This Row],[Profit]]/Table1[[#This Row],[Sales]]</f>
        <v>0.31428571428571428</v>
      </c>
    </row>
    <row r="427" spans="1:20" x14ac:dyDescent="0.3">
      <c r="A427" t="s">
        <v>522</v>
      </c>
      <c r="B427" s="17">
        <v>45731</v>
      </c>
      <c r="C427" t="s">
        <v>93</v>
      </c>
      <c r="D427" t="s">
        <v>94</v>
      </c>
      <c r="E427" t="s">
        <v>85</v>
      </c>
      <c r="F427" t="s">
        <v>78</v>
      </c>
      <c r="G427" t="s">
        <v>28</v>
      </c>
      <c r="H427" t="s">
        <v>73</v>
      </c>
      <c r="I427">
        <v>4</v>
      </c>
      <c r="J427">
        <v>900</v>
      </c>
      <c r="K427">
        <v>0.05</v>
      </c>
      <c r="L427">
        <v>3420</v>
      </c>
      <c r="M427">
        <v>2000</v>
      </c>
      <c r="N427">
        <v>1420</v>
      </c>
      <c r="O427" t="s">
        <v>58</v>
      </c>
      <c r="P427" t="s">
        <v>24</v>
      </c>
      <c r="Q427" t="str">
        <f>TEXT(Table1[[#This Row],[Order_Date]],"mmm")</f>
        <v>Mar</v>
      </c>
      <c r="R427" t="b">
        <f t="shared" si="6"/>
        <v>1</v>
      </c>
      <c r="T427" s="6">
        <f>Table1[[#This Row],[Profit]]/Table1[[#This Row],[Sales]]</f>
        <v>0.41520467836257308</v>
      </c>
    </row>
    <row r="428" spans="1:20" x14ac:dyDescent="0.3">
      <c r="A428" t="s">
        <v>523</v>
      </c>
      <c r="B428" s="17">
        <v>45901</v>
      </c>
      <c r="C428" t="s">
        <v>132</v>
      </c>
      <c r="D428" t="s">
        <v>133</v>
      </c>
      <c r="E428" t="s">
        <v>38</v>
      </c>
      <c r="F428" t="s">
        <v>34</v>
      </c>
      <c r="G428" t="s">
        <v>40</v>
      </c>
      <c r="H428" t="s">
        <v>61</v>
      </c>
      <c r="I428">
        <v>1</v>
      </c>
      <c r="J428">
        <v>12000</v>
      </c>
      <c r="K428">
        <v>0.05</v>
      </c>
      <c r="L428">
        <v>11400</v>
      </c>
      <c r="M428">
        <v>8500</v>
      </c>
      <c r="N428">
        <v>2900</v>
      </c>
      <c r="O428" t="s">
        <v>97</v>
      </c>
      <c r="P428" t="s">
        <v>42</v>
      </c>
      <c r="Q428" t="str">
        <f>TEXT(Table1[[#This Row],[Order_Date]],"mmm")</f>
        <v>Sep</v>
      </c>
      <c r="R428" t="b">
        <f t="shared" si="6"/>
        <v>1</v>
      </c>
      <c r="T428" s="6">
        <f>Table1[[#This Row],[Profit]]/Table1[[#This Row],[Sales]]</f>
        <v>0.25438596491228072</v>
      </c>
    </row>
    <row r="429" spans="1:20" x14ac:dyDescent="0.3">
      <c r="A429" t="s">
        <v>524</v>
      </c>
      <c r="B429" s="17">
        <v>46014</v>
      </c>
      <c r="C429" t="s">
        <v>17</v>
      </c>
      <c r="D429" t="s">
        <v>18</v>
      </c>
      <c r="E429" t="s">
        <v>60</v>
      </c>
      <c r="F429" t="s">
        <v>50</v>
      </c>
      <c r="G429" t="s">
        <v>21</v>
      </c>
      <c r="H429" t="s">
        <v>86</v>
      </c>
      <c r="I429">
        <v>2</v>
      </c>
      <c r="J429">
        <v>6000</v>
      </c>
      <c r="K429">
        <v>0.1</v>
      </c>
      <c r="L429">
        <v>10800</v>
      </c>
      <c r="M429">
        <v>8400</v>
      </c>
      <c r="N429">
        <v>2400</v>
      </c>
      <c r="O429" t="s">
        <v>97</v>
      </c>
      <c r="P429" t="s">
        <v>42</v>
      </c>
      <c r="Q429" t="str">
        <f>TEXT(Table1[[#This Row],[Order_Date]],"mmm")</f>
        <v>Dec</v>
      </c>
      <c r="R429" t="b">
        <f t="shared" si="6"/>
        <v>1</v>
      </c>
      <c r="T429" s="6">
        <f>Table1[[#This Row],[Profit]]/Table1[[#This Row],[Sales]]</f>
        <v>0.22222222222222221</v>
      </c>
    </row>
    <row r="430" spans="1:20" x14ac:dyDescent="0.3">
      <c r="A430" t="s">
        <v>525</v>
      </c>
      <c r="B430" s="17">
        <v>45871</v>
      </c>
      <c r="C430" t="s">
        <v>93</v>
      </c>
      <c r="D430" t="s">
        <v>94</v>
      </c>
      <c r="E430" t="s">
        <v>77</v>
      </c>
      <c r="F430" t="s">
        <v>78</v>
      </c>
      <c r="G430" t="s">
        <v>21</v>
      </c>
      <c r="H430" t="s">
        <v>86</v>
      </c>
      <c r="I430">
        <v>1</v>
      </c>
      <c r="J430">
        <v>1800</v>
      </c>
      <c r="K430">
        <v>0</v>
      </c>
      <c r="L430">
        <v>1800</v>
      </c>
      <c r="M430">
        <v>1100</v>
      </c>
      <c r="N430">
        <v>700</v>
      </c>
      <c r="O430" t="s">
        <v>51</v>
      </c>
      <c r="P430" t="s">
        <v>42</v>
      </c>
      <c r="Q430" t="str">
        <f>TEXT(Table1[[#This Row],[Order_Date]],"mmm")</f>
        <v>Aug</v>
      </c>
      <c r="R430" t="b">
        <f t="shared" si="6"/>
        <v>1</v>
      </c>
      <c r="T430" s="6">
        <f>Table1[[#This Row],[Profit]]/Table1[[#This Row],[Sales]]</f>
        <v>0.3888888888888889</v>
      </c>
    </row>
    <row r="431" spans="1:20" x14ac:dyDescent="0.3">
      <c r="A431" t="s">
        <v>526</v>
      </c>
      <c r="B431" s="17">
        <v>45922</v>
      </c>
      <c r="C431" t="s">
        <v>53</v>
      </c>
      <c r="D431" t="s">
        <v>54</v>
      </c>
      <c r="E431" t="s">
        <v>60</v>
      </c>
      <c r="F431" t="s">
        <v>50</v>
      </c>
      <c r="G431" t="s">
        <v>21</v>
      </c>
      <c r="H431" t="s">
        <v>22</v>
      </c>
      <c r="I431">
        <v>1</v>
      </c>
      <c r="J431">
        <v>6000</v>
      </c>
      <c r="K431">
        <v>0.05</v>
      </c>
      <c r="L431">
        <v>5700</v>
      </c>
      <c r="M431">
        <v>4200</v>
      </c>
      <c r="N431">
        <v>1500</v>
      </c>
      <c r="O431" t="s">
        <v>51</v>
      </c>
      <c r="P431" t="s">
        <v>24</v>
      </c>
      <c r="Q431" t="str">
        <f>TEXT(Table1[[#This Row],[Order_Date]],"mmm")</f>
        <v>Sep</v>
      </c>
      <c r="R431" t="b">
        <f t="shared" si="6"/>
        <v>1</v>
      </c>
      <c r="T431" s="6">
        <f>Table1[[#This Row],[Profit]]/Table1[[#This Row],[Sales]]</f>
        <v>0.26315789473684209</v>
      </c>
    </row>
    <row r="432" spans="1:20" x14ac:dyDescent="0.3">
      <c r="A432" t="s">
        <v>527</v>
      </c>
      <c r="B432" s="17">
        <v>45926</v>
      </c>
      <c r="C432" t="s">
        <v>113</v>
      </c>
      <c r="D432" t="s">
        <v>114</v>
      </c>
      <c r="E432" t="s">
        <v>19</v>
      </c>
      <c r="F432" t="s">
        <v>20</v>
      </c>
      <c r="G432" t="s">
        <v>21</v>
      </c>
      <c r="H432" t="s">
        <v>22</v>
      </c>
      <c r="I432">
        <v>2</v>
      </c>
      <c r="J432">
        <v>55000</v>
      </c>
      <c r="K432">
        <v>0</v>
      </c>
      <c r="L432">
        <v>110000</v>
      </c>
      <c r="M432">
        <v>90000</v>
      </c>
      <c r="N432">
        <v>20000</v>
      </c>
      <c r="O432" t="s">
        <v>58</v>
      </c>
      <c r="P432" t="s">
        <v>24</v>
      </c>
      <c r="Q432" t="str">
        <f>TEXT(Table1[[#This Row],[Order_Date]],"mmm")</f>
        <v>Sep</v>
      </c>
      <c r="R432" t="b">
        <f t="shared" si="6"/>
        <v>1</v>
      </c>
      <c r="T432" s="6">
        <f>Table1[[#This Row],[Profit]]/Table1[[#This Row],[Sales]]</f>
        <v>0.18181818181818182</v>
      </c>
    </row>
    <row r="433" spans="1:20" x14ac:dyDescent="0.3">
      <c r="A433" t="s">
        <v>528</v>
      </c>
      <c r="B433" s="17">
        <v>45891</v>
      </c>
      <c r="C433" t="s">
        <v>100</v>
      </c>
      <c r="D433" t="s">
        <v>101</v>
      </c>
      <c r="E433" t="s">
        <v>38</v>
      </c>
      <c r="F433" t="s">
        <v>34</v>
      </c>
      <c r="G433" t="s">
        <v>40</v>
      </c>
      <c r="H433" t="s">
        <v>61</v>
      </c>
      <c r="I433">
        <v>2</v>
      </c>
      <c r="J433">
        <v>12000</v>
      </c>
      <c r="K433">
        <v>0.1</v>
      </c>
      <c r="L433">
        <v>21600</v>
      </c>
      <c r="M433">
        <v>17000</v>
      </c>
      <c r="N433">
        <v>4600</v>
      </c>
      <c r="O433" t="s">
        <v>51</v>
      </c>
      <c r="P433" t="s">
        <v>24</v>
      </c>
      <c r="Q433" t="str">
        <f>TEXT(Table1[[#This Row],[Order_Date]],"mmm")</f>
        <v>Aug</v>
      </c>
      <c r="R433" t="b">
        <f t="shared" si="6"/>
        <v>1</v>
      </c>
      <c r="T433" s="6">
        <f>Table1[[#This Row],[Profit]]/Table1[[#This Row],[Sales]]</f>
        <v>0.21296296296296297</v>
      </c>
    </row>
    <row r="434" spans="1:20" x14ac:dyDescent="0.3">
      <c r="A434" t="s">
        <v>529</v>
      </c>
      <c r="B434" s="17">
        <v>46006</v>
      </c>
      <c r="C434" t="s">
        <v>75</v>
      </c>
      <c r="D434" t="s">
        <v>76</v>
      </c>
      <c r="E434" t="s">
        <v>65</v>
      </c>
      <c r="F434" t="s">
        <v>20</v>
      </c>
      <c r="G434" t="s">
        <v>35</v>
      </c>
      <c r="H434" t="s">
        <v>36</v>
      </c>
      <c r="I434">
        <v>3</v>
      </c>
      <c r="J434">
        <v>5000</v>
      </c>
      <c r="K434">
        <v>0.1</v>
      </c>
      <c r="L434">
        <v>13500</v>
      </c>
      <c r="M434">
        <v>10500</v>
      </c>
      <c r="N434">
        <v>3000</v>
      </c>
      <c r="O434" t="s">
        <v>58</v>
      </c>
      <c r="P434" t="s">
        <v>42</v>
      </c>
      <c r="Q434" t="str">
        <f>TEXT(Table1[[#This Row],[Order_Date]],"mmm")</f>
        <v>Dec</v>
      </c>
      <c r="R434" t="b">
        <f t="shared" si="6"/>
        <v>1</v>
      </c>
      <c r="T434" s="6">
        <f>Table1[[#This Row],[Profit]]/Table1[[#This Row],[Sales]]</f>
        <v>0.22222222222222221</v>
      </c>
    </row>
    <row r="435" spans="1:20" x14ac:dyDescent="0.3">
      <c r="A435" t="s">
        <v>530</v>
      </c>
      <c r="B435" s="17">
        <v>45958</v>
      </c>
      <c r="C435" t="s">
        <v>31</v>
      </c>
      <c r="D435" t="s">
        <v>32</v>
      </c>
      <c r="E435" t="s">
        <v>38</v>
      </c>
      <c r="F435" t="s">
        <v>34</v>
      </c>
      <c r="G435" t="s">
        <v>21</v>
      </c>
      <c r="H435" t="s">
        <v>86</v>
      </c>
      <c r="I435">
        <v>3</v>
      </c>
      <c r="J435">
        <v>12000</v>
      </c>
      <c r="K435">
        <v>0</v>
      </c>
      <c r="L435">
        <v>36000</v>
      </c>
      <c r="M435">
        <v>25500</v>
      </c>
      <c r="N435">
        <v>10500</v>
      </c>
      <c r="O435" t="s">
        <v>97</v>
      </c>
      <c r="P435" t="s">
        <v>24</v>
      </c>
      <c r="Q435" t="str">
        <f>TEXT(Table1[[#This Row],[Order_Date]],"mmm")</f>
        <v>Oct</v>
      </c>
      <c r="R435" t="b">
        <f t="shared" si="6"/>
        <v>1</v>
      </c>
      <c r="T435" s="6">
        <f>Table1[[#This Row],[Profit]]/Table1[[#This Row],[Sales]]</f>
        <v>0.29166666666666669</v>
      </c>
    </row>
    <row r="436" spans="1:20" x14ac:dyDescent="0.3">
      <c r="A436" t="s">
        <v>531</v>
      </c>
      <c r="B436" s="17">
        <v>45855</v>
      </c>
      <c r="C436" t="s">
        <v>100</v>
      </c>
      <c r="D436" t="s">
        <v>101</v>
      </c>
      <c r="E436" t="s">
        <v>55</v>
      </c>
      <c r="F436" t="s">
        <v>20</v>
      </c>
      <c r="G436" t="s">
        <v>21</v>
      </c>
      <c r="H436" t="s">
        <v>22</v>
      </c>
      <c r="I436">
        <v>5</v>
      </c>
      <c r="J436">
        <v>2500</v>
      </c>
      <c r="K436">
        <v>0</v>
      </c>
      <c r="L436">
        <v>12500</v>
      </c>
      <c r="M436">
        <v>8500</v>
      </c>
      <c r="N436">
        <v>4000</v>
      </c>
      <c r="O436" t="s">
        <v>58</v>
      </c>
      <c r="P436" t="s">
        <v>42</v>
      </c>
      <c r="Q436" t="str">
        <f>TEXT(Table1[[#This Row],[Order_Date]],"mmm")</f>
        <v>Jul</v>
      </c>
      <c r="R436" t="b">
        <f t="shared" si="6"/>
        <v>1</v>
      </c>
      <c r="T436" s="6">
        <f>Table1[[#This Row],[Profit]]/Table1[[#This Row],[Sales]]</f>
        <v>0.32</v>
      </c>
    </row>
    <row r="437" spans="1:20" x14ac:dyDescent="0.3">
      <c r="A437" t="s">
        <v>532</v>
      </c>
      <c r="B437" s="17">
        <v>45991</v>
      </c>
      <c r="C437" t="s">
        <v>26</v>
      </c>
      <c r="D437" t="s">
        <v>27</v>
      </c>
      <c r="E437" t="s">
        <v>116</v>
      </c>
      <c r="F437" t="s">
        <v>78</v>
      </c>
      <c r="G437" t="s">
        <v>28</v>
      </c>
      <c r="H437" t="s">
        <v>73</v>
      </c>
      <c r="I437">
        <v>1</v>
      </c>
      <c r="J437">
        <v>3000</v>
      </c>
      <c r="K437">
        <v>0</v>
      </c>
      <c r="L437">
        <v>3000</v>
      </c>
      <c r="M437">
        <v>1900</v>
      </c>
      <c r="N437">
        <v>1100</v>
      </c>
      <c r="O437" t="s">
        <v>58</v>
      </c>
      <c r="P437" t="s">
        <v>24</v>
      </c>
      <c r="Q437" t="str">
        <f>TEXT(Table1[[#This Row],[Order_Date]],"mmm")</f>
        <v>Nov</v>
      </c>
      <c r="R437" t="b">
        <f t="shared" si="6"/>
        <v>1</v>
      </c>
      <c r="T437" s="6">
        <f>Table1[[#This Row],[Profit]]/Table1[[#This Row],[Sales]]</f>
        <v>0.36666666666666664</v>
      </c>
    </row>
    <row r="438" spans="1:20" x14ac:dyDescent="0.3">
      <c r="A438" t="s">
        <v>533</v>
      </c>
      <c r="B438" s="17">
        <v>45772</v>
      </c>
      <c r="C438" t="s">
        <v>132</v>
      </c>
      <c r="D438" t="s">
        <v>133</v>
      </c>
      <c r="E438" t="s">
        <v>85</v>
      </c>
      <c r="F438" t="s">
        <v>78</v>
      </c>
      <c r="G438" t="s">
        <v>40</v>
      </c>
      <c r="H438" t="s">
        <v>61</v>
      </c>
      <c r="I438">
        <v>3</v>
      </c>
      <c r="J438">
        <v>900</v>
      </c>
      <c r="K438">
        <v>0.1</v>
      </c>
      <c r="L438">
        <v>2430</v>
      </c>
      <c r="M438">
        <v>1500</v>
      </c>
      <c r="N438">
        <v>930</v>
      </c>
      <c r="O438" t="s">
        <v>97</v>
      </c>
      <c r="P438" t="s">
        <v>42</v>
      </c>
      <c r="Q438" t="str">
        <f>TEXT(Table1[[#This Row],[Order_Date]],"mmm")</f>
        <v>Apr</v>
      </c>
      <c r="R438" t="b">
        <f t="shared" si="6"/>
        <v>1</v>
      </c>
      <c r="T438" s="6">
        <f>Table1[[#This Row],[Profit]]/Table1[[#This Row],[Sales]]</f>
        <v>0.38271604938271603</v>
      </c>
    </row>
    <row r="439" spans="1:20" x14ac:dyDescent="0.3">
      <c r="A439" t="s">
        <v>534</v>
      </c>
      <c r="B439" s="17">
        <v>45787</v>
      </c>
      <c r="C439" t="s">
        <v>207</v>
      </c>
      <c r="D439" t="s">
        <v>208</v>
      </c>
      <c r="E439" t="s">
        <v>80</v>
      </c>
      <c r="F439" t="s">
        <v>81</v>
      </c>
      <c r="G439" t="s">
        <v>35</v>
      </c>
      <c r="H439" t="s">
        <v>36</v>
      </c>
      <c r="I439">
        <v>3</v>
      </c>
      <c r="J439">
        <v>1800</v>
      </c>
      <c r="K439">
        <v>0</v>
      </c>
      <c r="L439">
        <v>5400</v>
      </c>
      <c r="M439">
        <v>3300</v>
      </c>
      <c r="N439">
        <v>2100</v>
      </c>
      <c r="O439" t="s">
        <v>23</v>
      </c>
      <c r="P439" t="s">
        <v>42</v>
      </c>
      <c r="Q439" t="str">
        <f>TEXT(Table1[[#This Row],[Order_Date]],"mmm")</f>
        <v>May</v>
      </c>
      <c r="R439" t="b">
        <f t="shared" si="6"/>
        <v>1</v>
      </c>
      <c r="T439" s="6">
        <f>Table1[[#This Row],[Profit]]/Table1[[#This Row],[Sales]]</f>
        <v>0.3888888888888889</v>
      </c>
    </row>
    <row r="440" spans="1:20" x14ac:dyDescent="0.3">
      <c r="A440" t="s">
        <v>535</v>
      </c>
      <c r="B440" s="17">
        <v>45945</v>
      </c>
      <c r="C440" t="s">
        <v>93</v>
      </c>
      <c r="D440" t="s">
        <v>94</v>
      </c>
      <c r="E440" t="s">
        <v>85</v>
      </c>
      <c r="F440" t="s">
        <v>78</v>
      </c>
      <c r="G440" t="s">
        <v>40</v>
      </c>
      <c r="H440" t="s">
        <v>45</v>
      </c>
      <c r="I440">
        <v>3</v>
      </c>
      <c r="J440">
        <v>900</v>
      </c>
      <c r="K440">
        <v>0</v>
      </c>
      <c r="L440">
        <v>2700</v>
      </c>
      <c r="M440">
        <v>1500</v>
      </c>
      <c r="N440">
        <v>1200</v>
      </c>
      <c r="O440" t="s">
        <v>51</v>
      </c>
      <c r="P440" t="s">
        <v>24</v>
      </c>
      <c r="Q440" t="str">
        <f>TEXT(Table1[[#This Row],[Order_Date]],"mmm")</f>
        <v>Oct</v>
      </c>
      <c r="R440" t="b">
        <f t="shared" si="6"/>
        <v>1</v>
      </c>
      <c r="T440" s="6">
        <f>Table1[[#This Row],[Profit]]/Table1[[#This Row],[Sales]]</f>
        <v>0.44444444444444442</v>
      </c>
    </row>
    <row r="441" spans="1:20" x14ac:dyDescent="0.3">
      <c r="A441" t="s">
        <v>536</v>
      </c>
      <c r="B441" s="17">
        <v>45830</v>
      </c>
      <c r="C441" t="s">
        <v>132</v>
      </c>
      <c r="D441" t="s">
        <v>133</v>
      </c>
      <c r="E441" t="s">
        <v>77</v>
      </c>
      <c r="F441" t="s">
        <v>78</v>
      </c>
      <c r="G441" t="s">
        <v>40</v>
      </c>
      <c r="H441" t="s">
        <v>61</v>
      </c>
      <c r="I441">
        <v>3</v>
      </c>
      <c r="J441">
        <v>1800</v>
      </c>
      <c r="K441">
        <v>0.05</v>
      </c>
      <c r="L441">
        <v>5130</v>
      </c>
      <c r="M441">
        <v>3300</v>
      </c>
      <c r="N441">
        <v>1830</v>
      </c>
      <c r="O441" t="s">
        <v>58</v>
      </c>
      <c r="P441" t="s">
        <v>24</v>
      </c>
      <c r="Q441" t="str">
        <f>TEXT(Table1[[#This Row],[Order_Date]],"mmm")</f>
        <v>Jun</v>
      </c>
      <c r="R441" t="b">
        <f t="shared" si="6"/>
        <v>1</v>
      </c>
      <c r="T441" s="6">
        <f>Table1[[#This Row],[Profit]]/Table1[[#This Row],[Sales]]</f>
        <v>0.35672514619883039</v>
      </c>
    </row>
    <row r="442" spans="1:20" x14ac:dyDescent="0.3">
      <c r="A442" t="s">
        <v>537</v>
      </c>
      <c r="B442" s="17">
        <v>45922</v>
      </c>
      <c r="C442" t="s">
        <v>47</v>
      </c>
      <c r="D442" t="s">
        <v>48</v>
      </c>
      <c r="E442" t="s">
        <v>19</v>
      </c>
      <c r="F442" t="s">
        <v>20</v>
      </c>
      <c r="G442" t="s">
        <v>35</v>
      </c>
      <c r="H442" t="s">
        <v>36</v>
      </c>
      <c r="I442">
        <v>5</v>
      </c>
      <c r="J442">
        <v>55000</v>
      </c>
      <c r="K442">
        <v>0.05</v>
      </c>
      <c r="L442">
        <v>261250</v>
      </c>
      <c r="M442">
        <v>225000</v>
      </c>
      <c r="N442">
        <v>36250</v>
      </c>
      <c r="O442" t="s">
        <v>58</v>
      </c>
      <c r="P442" t="s">
        <v>24</v>
      </c>
      <c r="Q442" t="str">
        <f>TEXT(Table1[[#This Row],[Order_Date]],"mmm")</f>
        <v>Sep</v>
      </c>
      <c r="R442" t="b">
        <f t="shared" si="6"/>
        <v>1</v>
      </c>
      <c r="T442" s="6">
        <f>Table1[[#This Row],[Profit]]/Table1[[#This Row],[Sales]]</f>
        <v>0.13875598086124402</v>
      </c>
    </row>
    <row r="443" spans="1:20" x14ac:dyDescent="0.3">
      <c r="A443" t="s">
        <v>538</v>
      </c>
      <c r="B443" s="17">
        <v>45993</v>
      </c>
      <c r="C443" t="s">
        <v>90</v>
      </c>
      <c r="D443" t="s">
        <v>91</v>
      </c>
      <c r="E443" t="s">
        <v>44</v>
      </c>
      <c r="F443" t="s">
        <v>34</v>
      </c>
      <c r="G443" t="s">
        <v>35</v>
      </c>
      <c r="H443" t="s">
        <v>57</v>
      </c>
      <c r="I443">
        <v>3</v>
      </c>
      <c r="J443">
        <v>8000</v>
      </c>
      <c r="K443">
        <v>0.1</v>
      </c>
      <c r="L443">
        <v>21600</v>
      </c>
      <c r="M443">
        <v>16800</v>
      </c>
      <c r="N443">
        <v>4800</v>
      </c>
      <c r="O443" t="s">
        <v>23</v>
      </c>
      <c r="P443" t="s">
        <v>24</v>
      </c>
      <c r="Q443" t="str">
        <f>TEXT(Table1[[#This Row],[Order_Date]],"mmm")</f>
        <v>Dec</v>
      </c>
      <c r="R443" t="b">
        <f t="shared" si="6"/>
        <v>1</v>
      </c>
      <c r="T443" s="6">
        <f>Table1[[#This Row],[Profit]]/Table1[[#This Row],[Sales]]</f>
        <v>0.22222222222222221</v>
      </c>
    </row>
    <row r="444" spans="1:20" x14ac:dyDescent="0.3">
      <c r="A444" t="s">
        <v>539</v>
      </c>
      <c r="B444" s="17">
        <v>45833</v>
      </c>
      <c r="C444" t="s">
        <v>47</v>
      </c>
      <c r="D444" t="s">
        <v>48</v>
      </c>
      <c r="E444" t="s">
        <v>77</v>
      </c>
      <c r="F444" t="s">
        <v>78</v>
      </c>
      <c r="G444" t="s">
        <v>35</v>
      </c>
      <c r="H444" t="s">
        <v>36</v>
      </c>
      <c r="I444">
        <v>5</v>
      </c>
      <c r="J444">
        <v>1800</v>
      </c>
      <c r="K444">
        <v>0.05</v>
      </c>
      <c r="L444">
        <v>8550</v>
      </c>
      <c r="M444">
        <v>5500</v>
      </c>
      <c r="N444">
        <v>3050</v>
      </c>
      <c r="O444" t="s">
        <v>97</v>
      </c>
      <c r="P444" t="s">
        <v>24</v>
      </c>
      <c r="Q444" t="str">
        <f>TEXT(Table1[[#This Row],[Order_Date]],"mmm")</f>
        <v>Jun</v>
      </c>
      <c r="R444" t="b">
        <f t="shared" si="6"/>
        <v>1</v>
      </c>
      <c r="T444" s="6">
        <f>Table1[[#This Row],[Profit]]/Table1[[#This Row],[Sales]]</f>
        <v>0.35672514619883039</v>
      </c>
    </row>
    <row r="445" spans="1:20" x14ac:dyDescent="0.3">
      <c r="A445" t="s">
        <v>540</v>
      </c>
      <c r="B445" s="17">
        <v>45994</v>
      </c>
      <c r="C445" t="s">
        <v>31</v>
      </c>
      <c r="D445" t="s">
        <v>32</v>
      </c>
      <c r="E445" t="s">
        <v>55</v>
      </c>
      <c r="F445" t="s">
        <v>20</v>
      </c>
      <c r="G445" t="s">
        <v>28</v>
      </c>
      <c r="H445" t="s">
        <v>73</v>
      </c>
      <c r="I445">
        <v>3</v>
      </c>
      <c r="J445">
        <v>2500</v>
      </c>
      <c r="K445">
        <v>0</v>
      </c>
      <c r="L445">
        <v>7500</v>
      </c>
      <c r="M445">
        <v>5100</v>
      </c>
      <c r="N445">
        <v>2400</v>
      </c>
      <c r="O445" t="s">
        <v>97</v>
      </c>
      <c r="P445" t="s">
        <v>24</v>
      </c>
      <c r="Q445" t="str">
        <f>TEXT(Table1[[#This Row],[Order_Date]],"mmm")</f>
        <v>Dec</v>
      </c>
      <c r="R445" t="b">
        <f t="shared" si="6"/>
        <v>1</v>
      </c>
      <c r="T445" s="6">
        <f>Table1[[#This Row],[Profit]]/Table1[[#This Row],[Sales]]</f>
        <v>0.32</v>
      </c>
    </row>
    <row r="446" spans="1:20" x14ac:dyDescent="0.3">
      <c r="A446" t="s">
        <v>541</v>
      </c>
      <c r="B446" s="17">
        <v>46006</v>
      </c>
      <c r="C446" t="s">
        <v>63</v>
      </c>
      <c r="D446" t="s">
        <v>64</v>
      </c>
      <c r="E446" t="s">
        <v>77</v>
      </c>
      <c r="F446" t="s">
        <v>78</v>
      </c>
      <c r="G446" t="s">
        <v>21</v>
      </c>
      <c r="H446" t="s">
        <v>86</v>
      </c>
      <c r="I446">
        <v>1</v>
      </c>
      <c r="J446">
        <v>1800</v>
      </c>
      <c r="K446">
        <v>0</v>
      </c>
      <c r="L446">
        <v>1800</v>
      </c>
      <c r="M446">
        <v>1100</v>
      </c>
      <c r="N446">
        <v>700</v>
      </c>
      <c r="O446" t="s">
        <v>97</v>
      </c>
      <c r="P446" t="s">
        <v>42</v>
      </c>
      <c r="Q446" t="str">
        <f>TEXT(Table1[[#This Row],[Order_Date]],"mmm")</f>
        <v>Dec</v>
      </c>
      <c r="R446" t="b">
        <f t="shared" si="6"/>
        <v>1</v>
      </c>
      <c r="T446" s="6">
        <f>Table1[[#This Row],[Profit]]/Table1[[#This Row],[Sales]]</f>
        <v>0.3888888888888889</v>
      </c>
    </row>
    <row r="447" spans="1:20" x14ac:dyDescent="0.3">
      <c r="A447" t="s">
        <v>542</v>
      </c>
      <c r="B447" s="17">
        <v>45827</v>
      </c>
      <c r="C447" t="s">
        <v>53</v>
      </c>
      <c r="D447" t="s">
        <v>54</v>
      </c>
      <c r="E447" t="s">
        <v>44</v>
      </c>
      <c r="F447" t="s">
        <v>34</v>
      </c>
      <c r="G447" t="s">
        <v>40</v>
      </c>
      <c r="H447" t="s">
        <v>61</v>
      </c>
      <c r="I447">
        <v>5</v>
      </c>
      <c r="J447">
        <v>8000</v>
      </c>
      <c r="K447">
        <v>0</v>
      </c>
      <c r="L447">
        <v>40000</v>
      </c>
      <c r="M447">
        <v>28000</v>
      </c>
      <c r="N447">
        <v>12000</v>
      </c>
      <c r="O447" t="s">
        <v>51</v>
      </c>
      <c r="P447" t="s">
        <v>24</v>
      </c>
      <c r="Q447" t="str">
        <f>TEXT(Table1[[#This Row],[Order_Date]],"mmm")</f>
        <v>Jun</v>
      </c>
      <c r="R447" t="b">
        <f t="shared" si="6"/>
        <v>1</v>
      </c>
      <c r="T447" s="6">
        <f>Table1[[#This Row],[Profit]]/Table1[[#This Row],[Sales]]</f>
        <v>0.3</v>
      </c>
    </row>
    <row r="448" spans="1:20" x14ac:dyDescent="0.3">
      <c r="A448" t="s">
        <v>543</v>
      </c>
      <c r="B448" s="17">
        <v>45982</v>
      </c>
      <c r="C448" t="s">
        <v>113</v>
      </c>
      <c r="D448" t="s">
        <v>114</v>
      </c>
      <c r="E448" t="s">
        <v>85</v>
      </c>
      <c r="F448" t="s">
        <v>78</v>
      </c>
      <c r="G448" t="s">
        <v>28</v>
      </c>
      <c r="H448" t="s">
        <v>73</v>
      </c>
      <c r="I448">
        <v>5</v>
      </c>
      <c r="J448">
        <v>900</v>
      </c>
      <c r="K448">
        <v>0</v>
      </c>
      <c r="L448">
        <v>4500</v>
      </c>
      <c r="M448">
        <v>2500</v>
      </c>
      <c r="N448">
        <v>2000</v>
      </c>
      <c r="O448" t="s">
        <v>23</v>
      </c>
      <c r="P448" t="s">
        <v>42</v>
      </c>
      <c r="Q448" t="str">
        <f>TEXT(Table1[[#This Row],[Order_Date]],"mmm")</f>
        <v>Nov</v>
      </c>
      <c r="R448" t="b">
        <f t="shared" si="6"/>
        <v>1</v>
      </c>
      <c r="T448" s="6">
        <f>Table1[[#This Row],[Profit]]/Table1[[#This Row],[Sales]]</f>
        <v>0.44444444444444442</v>
      </c>
    </row>
    <row r="449" spans="1:20" x14ac:dyDescent="0.3">
      <c r="A449" t="s">
        <v>544</v>
      </c>
      <c r="B449" s="17">
        <v>45929</v>
      </c>
      <c r="C449" t="s">
        <v>128</v>
      </c>
      <c r="D449" t="s">
        <v>129</v>
      </c>
      <c r="E449" t="s">
        <v>33</v>
      </c>
      <c r="F449" t="s">
        <v>34</v>
      </c>
      <c r="G449" t="s">
        <v>21</v>
      </c>
      <c r="H449" t="s">
        <v>22</v>
      </c>
      <c r="I449">
        <v>1</v>
      </c>
      <c r="J449">
        <v>7000</v>
      </c>
      <c r="K449">
        <v>0</v>
      </c>
      <c r="L449">
        <v>7000</v>
      </c>
      <c r="M449">
        <v>4800</v>
      </c>
      <c r="N449">
        <v>2200</v>
      </c>
      <c r="O449" t="s">
        <v>97</v>
      </c>
      <c r="P449" t="s">
        <v>42</v>
      </c>
      <c r="Q449" t="str">
        <f>TEXT(Table1[[#This Row],[Order_Date]],"mmm")</f>
        <v>Sep</v>
      </c>
      <c r="R449" t="b">
        <f t="shared" si="6"/>
        <v>1</v>
      </c>
      <c r="T449" s="6">
        <f>Table1[[#This Row],[Profit]]/Table1[[#This Row],[Sales]]</f>
        <v>0.31428571428571428</v>
      </c>
    </row>
    <row r="450" spans="1:20" x14ac:dyDescent="0.3">
      <c r="A450" t="s">
        <v>545</v>
      </c>
      <c r="B450" s="17">
        <v>45949</v>
      </c>
      <c r="C450" t="s">
        <v>107</v>
      </c>
      <c r="D450" t="s">
        <v>108</v>
      </c>
      <c r="E450" t="s">
        <v>55</v>
      </c>
      <c r="F450" t="s">
        <v>20</v>
      </c>
      <c r="G450" t="s">
        <v>21</v>
      </c>
      <c r="H450" t="s">
        <v>22</v>
      </c>
      <c r="I450">
        <v>3</v>
      </c>
      <c r="J450">
        <v>2500</v>
      </c>
      <c r="K450">
        <v>0.1</v>
      </c>
      <c r="L450">
        <v>6750</v>
      </c>
      <c r="M450">
        <v>5100</v>
      </c>
      <c r="N450">
        <v>1650</v>
      </c>
      <c r="O450" t="s">
        <v>97</v>
      </c>
      <c r="P450" t="s">
        <v>24</v>
      </c>
      <c r="Q450" t="str">
        <f>TEXT(Table1[[#This Row],[Order_Date]],"mmm")</f>
        <v>Oct</v>
      </c>
      <c r="R450" t="b">
        <f t="shared" ref="R450:R501" si="7">ISNUMBER(B450)</f>
        <v>1</v>
      </c>
      <c r="T450" s="6">
        <f>Table1[[#This Row],[Profit]]/Table1[[#This Row],[Sales]]</f>
        <v>0.24444444444444444</v>
      </c>
    </row>
    <row r="451" spans="1:20" x14ac:dyDescent="0.3">
      <c r="A451" t="s">
        <v>546</v>
      </c>
      <c r="B451" s="17">
        <v>45818</v>
      </c>
      <c r="C451" t="s">
        <v>100</v>
      </c>
      <c r="D451" t="s">
        <v>101</v>
      </c>
      <c r="E451" t="s">
        <v>19</v>
      </c>
      <c r="F451" t="s">
        <v>20</v>
      </c>
      <c r="G451" t="s">
        <v>40</v>
      </c>
      <c r="H451" t="s">
        <v>41</v>
      </c>
      <c r="I451">
        <v>4</v>
      </c>
      <c r="J451">
        <v>55000</v>
      </c>
      <c r="K451">
        <v>0</v>
      </c>
      <c r="L451">
        <v>220000</v>
      </c>
      <c r="M451">
        <v>180000</v>
      </c>
      <c r="N451">
        <v>40000</v>
      </c>
      <c r="O451" t="s">
        <v>58</v>
      </c>
      <c r="P451" t="s">
        <v>42</v>
      </c>
      <c r="Q451" t="str">
        <f>TEXT(Table1[[#This Row],[Order_Date]],"mmm")</f>
        <v>Jun</v>
      </c>
      <c r="R451" t="b">
        <f t="shared" si="7"/>
        <v>1</v>
      </c>
      <c r="T451" s="6">
        <f>Table1[[#This Row],[Profit]]/Table1[[#This Row],[Sales]]</f>
        <v>0.18181818181818182</v>
      </c>
    </row>
    <row r="452" spans="1:20" x14ac:dyDescent="0.3">
      <c r="A452" t="s">
        <v>547</v>
      </c>
      <c r="B452" s="17">
        <v>45703</v>
      </c>
      <c r="C452" t="s">
        <v>135</v>
      </c>
      <c r="D452" t="s">
        <v>136</v>
      </c>
      <c r="E452" t="s">
        <v>85</v>
      </c>
      <c r="F452" t="s">
        <v>78</v>
      </c>
      <c r="G452" t="s">
        <v>35</v>
      </c>
      <c r="H452" t="s">
        <v>57</v>
      </c>
      <c r="I452">
        <v>4</v>
      </c>
      <c r="J452">
        <v>900</v>
      </c>
      <c r="K452">
        <v>0.1</v>
      </c>
      <c r="L452">
        <v>3240</v>
      </c>
      <c r="M452">
        <v>2000</v>
      </c>
      <c r="N452">
        <v>1240</v>
      </c>
      <c r="O452" t="s">
        <v>51</v>
      </c>
      <c r="P452" t="s">
        <v>42</v>
      </c>
      <c r="Q452" t="str">
        <f>TEXT(Table1[[#This Row],[Order_Date]],"mmm")</f>
        <v>Feb</v>
      </c>
      <c r="R452" t="b">
        <f t="shared" si="7"/>
        <v>1</v>
      </c>
      <c r="T452" s="6">
        <f>Table1[[#This Row],[Profit]]/Table1[[#This Row],[Sales]]</f>
        <v>0.38271604938271603</v>
      </c>
    </row>
    <row r="453" spans="1:20" x14ac:dyDescent="0.3">
      <c r="A453" t="s">
        <v>548</v>
      </c>
      <c r="B453" s="17">
        <v>45660</v>
      </c>
      <c r="C453" t="s">
        <v>100</v>
      </c>
      <c r="D453" t="s">
        <v>101</v>
      </c>
      <c r="E453" t="s">
        <v>116</v>
      </c>
      <c r="F453" t="s">
        <v>78</v>
      </c>
      <c r="G453" t="s">
        <v>40</v>
      </c>
      <c r="H453" t="s">
        <v>41</v>
      </c>
      <c r="I453">
        <v>2</v>
      </c>
      <c r="J453">
        <v>3000</v>
      </c>
      <c r="K453">
        <v>0.05</v>
      </c>
      <c r="L453">
        <v>5700</v>
      </c>
      <c r="M453">
        <v>3800</v>
      </c>
      <c r="N453">
        <v>1900</v>
      </c>
      <c r="O453" t="s">
        <v>58</v>
      </c>
      <c r="P453" t="s">
        <v>24</v>
      </c>
      <c r="Q453" t="str">
        <f>TEXT(Table1[[#This Row],[Order_Date]],"mmm")</f>
        <v>Jan</v>
      </c>
      <c r="R453" t="b">
        <f t="shared" si="7"/>
        <v>1</v>
      </c>
      <c r="T453" s="6">
        <f>Table1[[#This Row],[Profit]]/Table1[[#This Row],[Sales]]</f>
        <v>0.33333333333333331</v>
      </c>
    </row>
    <row r="454" spans="1:20" x14ac:dyDescent="0.3">
      <c r="A454" t="s">
        <v>549</v>
      </c>
      <c r="B454" s="17">
        <v>46004</v>
      </c>
      <c r="C454" t="s">
        <v>75</v>
      </c>
      <c r="D454" t="s">
        <v>76</v>
      </c>
      <c r="E454" t="s">
        <v>77</v>
      </c>
      <c r="F454" t="s">
        <v>78</v>
      </c>
      <c r="G454" t="s">
        <v>21</v>
      </c>
      <c r="H454" t="s">
        <v>95</v>
      </c>
      <c r="I454">
        <v>2</v>
      </c>
      <c r="J454">
        <v>1800</v>
      </c>
      <c r="K454">
        <v>0.05</v>
      </c>
      <c r="L454">
        <v>3420</v>
      </c>
      <c r="M454">
        <v>2200</v>
      </c>
      <c r="N454">
        <v>1220</v>
      </c>
      <c r="O454" t="s">
        <v>97</v>
      </c>
      <c r="P454" t="s">
        <v>24</v>
      </c>
      <c r="Q454" t="str">
        <f>TEXT(Table1[[#This Row],[Order_Date]],"mmm")</f>
        <v>Dec</v>
      </c>
      <c r="R454" t="b">
        <f t="shared" si="7"/>
        <v>1</v>
      </c>
      <c r="T454" s="6">
        <f>Table1[[#This Row],[Profit]]/Table1[[#This Row],[Sales]]</f>
        <v>0.35672514619883039</v>
      </c>
    </row>
    <row r="455" spans="1:20" x14ac:dyDescent="0.3">
      <c r="A455" t="s">
        <v>550</v>
      </c>
      <c r="B455" s="17">
        <v>45710</v>
      </c>
      <c r="C455" t="s">
        <v>122</v>
      </c>
      <c r="D455" t="s">
        <v>123</v>
      </c>
      <c r="E455" t="s">
        <v>116</v>
      </c>
      <c r="F455" t="s">
        <v>78</v>
      </c>
      <c r="G455" t="s">
        <v>40</v>
      </c>
      <c r="H455" t="s">
        <v>41</v>
      </c>
      <c r="I455">
        <v>5</v>
      </c>
      <c r="J455">
        <v>3000</v>
      </c>
      <c r="K455">
        <v>0</v>
      </c>
      <c r="L455">
        <v>15000</v>
      </c>
      <c r="M455">
        <v>9500</v>
      </c>
      <c r="N455">
        <v>5500</v>
      </c>
      <c r="O455" t="s">
        <v>23</v>
      </c>
      <c r="P455" t="s">
        <v>42</v>
      </c>
      <c r="Q455" t="str">
        <f>TEXT(Table1[[#This Row],[Order_Date]],"mmm")</f>
        <v>Feb</v>
      </c>
      <c r="R455" t="b">
        <f t="shared" si="7"/>
        <v>1</v>
      </c>
      <c r="T455" s="6">
        <f>Table1[[#This Row],[Profit]]/Table1[[#This Row],[Sales]]</f>
        <v>0.36666666666666664</v>
      </c>
    </row>
    <row r="456" spans="1:20" x14ac:dyDescent="0.3">
      <c r="A456" t="s">
        <v>551</v>
      </c>
      <c r="B456" s="17">
        <v>45806</v>
      </c>
      <c r="C456" t="s">
        <v>107</v>
      </c>
      <c r="D456" t="s">
        <v>108</v>
      </c>
      <c r="E456" t="s">
        <v>67</v>
      </c>
      <c r="F456" t="s">
        <v>50</v>
      </c>
      <c r="G456" t="s">
        <v>40</v>
      </c>
      <c r="H456" t="s">
        <v>61</v>
      </c>
      <c r="I456">
        <v>5</v>
      </c>
      <c r="J456">
        <v>4500</v>
      </c>
      <c r="K456">
        <v>0</v>
      </c>
      <c r="L456">
        <v>22500</v>
      </c>
      <c r="M456">
        <v>15500</v>
      </c>
      <c r="N456">
        <v>7000</v>
      </c>
      <c r="O456" t="s">
        <v>97</v>
      </c>
      <c r="P456" t="s">
        <v>42</v>
      </c>
      <c r="Q456" t="str">
        <f>TEXT(Table1[[#This Row],[Order_Date]],"mmm")</f>
        <v>May</v>
      </c>
      <c r="R456" t="b">
        <f t="shared" si="7"/>
        <v>1</v>
      </c>
      <c r="T456" s="6">
        <f>Table1[[#This Row],[Profit]]/Table1[[#This Row],[Sales]]</f>
        <v>0.31111111111111112</v>
      </c>
    </row>
    <row r="457" spans="1:20" x14ac:dyDescent="0.3">
      <c r="A457" t="s">
        <v>552</v>
      </c>
      <c r="B457" s="17">
        <v>45841</v>
      </c>
      <c r="C457" t="s">
        <v>207</v>
      </c>
      <c r="D457" t="s">
        <v>208</v>
      </c>
      <c r="E457" t="s">
        <v>55</v>
      </c>
      <c r="F457" t="s">
        <v>20</v>
      </c>
      <c r="G457" t="s">
        <v>28</v>
      </c>
      <c r="H457" t="s">
        <v>29</v>
      </c>
      <c r="I457">
        <v>4</v>
      </c>
      <c r="J457">
        <v>2500</v>
      </c>
      <c r="K457">
        <v>0</v>
      </c>
      <c r="L457">
        <v>10000</v>
      </c>
      <c r="M457">
        <v>6800</v>
      </c>
      <c r="N457">
        <v>3200</v>
      </c>
      <c r="O457" t="s">
        <v>58</v>
      </c>
      <c r="P457" t="s">
        <v>24</v>
      </c>
      <c r="Q457" t="str">
        <f>TEXT(Table1[[#This Row],[Order_Date]],"mmm")</f>
        <v>Jul</v>
      </c>
      <c r="R457" t="b">
        <f t="shared" si="7"/>
        <v>1</v>
      </c>
      <c r="T457" s="6">
        <f>Table1[[#This Row],[Profit]]/Table1[[#This Row],[Sales]]</f>
        <v>0.32</v>
      </c>
    </row>
    <row r="458" spans="1:20" x14ac:dyDescent="0.3">
      <c r="A458" t="s">
        <v>553</v>
      </c>
      <c r="B458" s="17">
        <v>45669</v>
      </c>
      <c r="C458" t="s">
        <v>113</v>
      </c>
      <c r="D458" t="s">
        <v>114</v>
      </c>
      <c r="E458" t="s">
        <v>116</v>
      </c>
      <c r="F458" t="s">
        <v>78</v>
      </c>
      <c r="G458" t="s">
        <v>28</v>
      </c>
      <c r="H458" t="s">
        <v>73</v>
      </c>
      <c r="I458">
        <v>2</v>
      </c>
      <c r="J458">
        <v>3000</v>
      </c>
      <c r="K458">
        <v>0</v>
      </c>
      <c r="L458">
        <v>6000</v>
      </c>
      <c r="M458">
        <v>3800</v>
      </c>
      <c r="N458">
        <v>2200</v>
      </c>
      <c r="O458" t="s">
        <v>51</v>
      </c>
      <c r="P458" t="s">
        <v>42</v>
      </c>
      <c r="Q458" t="str">
        <f>TEXT(Table1[[#This Row],[Order_Date]],"mmm")</f>
        <v>Jan</v>
      </c>
      <c r="R458" t="b">
        <f t="shared" si="7"/>
        <v>1</v>
      </c>
      <c r="T458" s="6">
        <f>Table1[[#This Row],[Profit]]/Table1[[#This Row],[Sales]]</f>
        <v>0.36666666666666664</v>
      </c>
    </row>
    <row r="459" spans="1:20" x14ac:dyDescent="0.3">
      <c r="A459" t="s">
        <v>554</v>
      </c>
      <c r="B459" s="17">
        <v>45931</v>
      </c>
      <c r="C459" t="s">
        <v>93</v>
      </c>
      <c r="D459" t="s">
        <v>94</v>
      </c>
      <c r="E459" t="s">
        <v>19</v>
      </c>
      <c r="F459" t="s">
        <v>20</v>
      </c>
      <c r="G459" t="s">
        <v>28</v>
      </c>
      <c r="H459" t="s">
        <v>102</v>
      </c>
      <c r="I459">
        <v>5</v>
      </c>
      <c r="J459">
        <v>55000</v>
      </c>
      <c r="K459">
        <v>0</v>
      </c>
      <c r="L459">
        <v>275000</v>
      </c>
      <c r="M459">
        <v>225000</v>
      </c>
      <c r="N459">
        <v>50000</v>
      </c>
      <c r="O459" t="s">
        <v>23</v>
      </c>
      <c r="P459" t="s">
        <v>24</v>
      </c>
      <c r="Q459" t="str">
        <f>TEXT(Table1[[#This Row],[Order_Date]],"mmm")</f>
        <v>Oct</v>
      </c>
      <c r="R459" t="b">
        <f t="shared" si="7"/>
        <v>1</v>
      </c>
      <c r="T459" s="6">
        <f>Table1[[#This Row],[Profit]]/Table1[[#This Row],[Sales]]</f>
        <v>0.18181818181818182</v>
      </c>
    </row>
    <row r="460" spans="1:20" x14ac:dyDescent="0.3">
      <c r="A460" t="s">
        <v>555</v>
      </c>
      <c r="B460" s="17">
        <v>46011</v>
      </c>
      <c r="C460" t="s">
        <v>17</v>
      </c>
      <c r="D460" t="s">
        <v>18</v>
      </c>
      <c r="E460" t="s">
        <v>33</v>
      </c>
      <c r="F460" t="s">
        <v>34</v>
      </c>
      <c r="G460" t="s">
        <v>35</v>
      </c>
      <c r="H460" t="s">
        <v>69</v>
      </c>
      <c r="I460">
        <v>4</v>
      </c>
      <c r="J460">
        <v>7000</v>
      </c>
      <c r="K460">
        <v>0.15</v>
      </c>
      <c r="L460">
        <v>23800</v>
      </c>
      <c r="M460">
        <v>19200</v>
      </c>
      <c r="N460">
        <v>4600</v>
      </c>
      <c r="O460" t="s">
        <v>97</v>
      </c>
      <c r="P460" t="s">
        <v>42</v>
      </c>
      <c r="Q460" t="str">
        <f>TEXT(Table1[[#This Row],[Order_Date]],"mmm")</f>
        <v>Dec</v>
      </c>
      <c r="R460" t="b">
        <f t="shared" si="7"/>
        <v>1</v>
      </c>
      <c r="T460" s="6">
        <f>Table1[[#This Row],[Profit]]/Table1[[#This Row],[Sales]]</f>
        <v>0.19327731092436976</v>
      </c>
    </row>
    <row r="461" spans="1:20" x14ac:dyDescent="0.3">
      <c r="A461" t="s">
        <v>556</v>
      </c>
      <c r="B461" s="17">
        <v>46017</v>
      </c>
      <c r="C461" t="s">
        <v>135</v>
      </c>
      <c r="D461" t="s">
        <v>136</v>
      </c>
      <c r="E461" t="s">
        <v>65</v>
      </c>
      <c r="F461" t="s">
        <v>20</v>
      </c>
      <c r="G461" t="s">
        <v>40</v>
      </c>
      <c r="H461" t="s">
        <v>61</v>
      </c>
      <c r="I461">
        <v>1</v>
      </c>
      <c r="J461">
        <v>5000</v>
      </c>
      <c r="K461">
        <v>0</v>
      </c>
      <c r="L461">
        <v>5000</v>
      </c>
      <c r="M461">
        <v>3500</v>
      </c>
      <c r="N461">
        <v>1500</v>
      </c>
      <c r="O461" t="s">
        <v>97</v>
      </c>
      <c r="P461" t="s">
        <v>24</v>
      </c>
      <c r="Q461" t="str">
        <f>TEXT(Table1[[#This Row],[Order_Date]],"mmm")</f>
        <v>Dec</v>
      </c>
      <c r="R461" t="b">
        <f t="shared" si="7"/>
        <v>1</v>
      </c>
      <c r="T461" s="6">
        <f>Table1[[#This Row],[Profit]]/Table1[[#This Row],[Sales]]</f>
        <v>0.3</v>
      </c>
    </row>
    <row r="462" spans="1:20" x14ac:dyDescent="0.3">
      <c r="A462" t="s">
        <v>557</v>
      </c>
      <c r="B462" s="17">
        <v>45872</v>
      </c>
      <c r="C462" t="s">
        <v>17</v>
      </c>
      <c r="D462" t="s">
        <v>18</v>
      </c>
      <c r="E462" t="s">
        <v>116</v>
      </c>
      <c r="F462" t="s">
        <v>78</v>
      </c>
      <c r="G462" t="s">
        <v>28</v>
      </c>
      <c r="H462" t="s">
        <v>73</v>
      </c>
      <c r="I462">
        <v>5</v>
      </c>
      <c r="J462">
        <v>3000</v>
      </c>
      <c r="K462">
        <v>0</v>
      </c>
      <c r="L462">
        <v>15000</v>
      </c>
      <c r="M462">
        <v>9500</v>
      </c>
      <c r="N462">
        <v>5500</v>
      </c>
      <c r="O462" t="s">
        <v>23</v>
      </c>
      <c r="P462" t="s">
        <v>42</v>
      </c>
      <c r="Q462" t="str">
        <f>TEXT(Table1[[#This Row],[Order_Date]],"mmm")</f>
        <v>Aug</v>
      </c>
      <c r="R462" t="b">
        <f t="shared" si="7"/>
        <v>1</v>
      </c>
      <c r="T462" s="6">
        <f>Table1[[#This Row],[Profit]]/Table1[[#This Row],[Sales]]</f>
        <v>0.36666666666666664</v>
      </c>
    </row>
    <row r="463" spans="1:20" x14ac:dyDescent="0.3">
      <c r="A463" t="s">
        <v>558</v>
      </c>
      <c r="B463" s="17">
        <v>45759</v>
      </c>
      <c r="C463" t="s">
        <v>93</v>
      </c>
      <c r="D463" t="s">
        <v>94</v>
      </c>
      <c r="E463" t="s">
        <v>65</v>
      </c>
      <c r="F463" t="s">
        <v>20</v>
      </c>
      <c r="G463" t="s">
        <v>21</v>
      </c>
      <c r="H463" t="s">
        <v>86</v>
      </c>
      <c r="I463">
        <v>3</v>
      </c>
      <c r="J463">
        <v>5000</v>
      </c>
      <c r="K463">
        <v>0.1</v>
      </c>
      <c r="L463">
        <v>13500</v>
      </c>
      <c r="M463">
        <v>10500</v>
      </c>
      <c r="N463">
        <v>3000</v>
      </c>
      <c r="O463" t="s">
        <v>97</v>
      </c>
      <c r="P463" t="s">
        <v>24</v>
      </c>
      <c r="Q463" t="str">
        <f>TEXT(Table1[[#This Row],[Order_Date]],"mmm")</f>
        <v>Apr</v>
      </c>
      <c r="R463" t="b">
        <f t="shared" si="7"/>
        <v>1</v>
      </c>
      <c r="T463" s="6">
        <f>Table1[[#This Row],[Profit]]/Table1[[#This Row],[Sales]]</f>
        <v>0.22222222222222221</v>
      </c>
    </row>
    <row r="464" spans="1:20" x14ac:dyDescent="0.3">
      <c r="A464" t="s">
        <v>559</v>
      </c>
      <c r="B464" s="17">
        <v>45678</v>
      </c>
      <c r="C464" t="s">
        <v>31</v>
      </c>
      <c r="D464" t="s">
        <v>32</v>
      </c>
      <c r="E464" t="s">
        <v>80</v>
      </c>
      <c r="F464" t="s">
        <v>81</v>
      </c>
      <c r="G464" t="s">
        <v>35</v>
      </c>
      <c r="H464" t="s">
        <v>57</v>
      </c>
      <c r="I464">
        <v>2</v>
      </c>
      <c r="J464">
        <v>1800</v>
      </c>
      <c r="K464">
        <v>0</v>
      </c>
      <c r="L464">
        <v>3600</v>
      </c>
      <c r="M464">
        <v>2200</v>
      </c>
      <c r="N464">
        <v>1400</v>
      </c>
      <c r="O464" t="s">
        <v>23</v>
      </c>
      <c r="P464" t="s">
        <v>24</v>
      </c>
      <c r="Q464" t="str">
        <f>TEXT(Table1[[#This Row],[Order_Date]],"mmm")</f>
        <v>Jan</v>
      </c>
      <c r="R464" t="b">
        <f t="shared" si="7"/>
        <v>1</v>
      </c>
      <c r="T464" s="6">
        <f>Table1[[#This Row],[Profit]]/Table1[[#This Row],[Sales]]</f>
        <v>0.3888888888888889</v>
      </c>
    </row>
    <row r="465" spans="1:20" x14ac:dyDescent="0.3">
      <c r="A465" t="s">
        <v>560</v>
      </c>
      <c r="B465" s="17">
        <v>46001</v>
      </c>
      <c r="C465" t="s">
        <v>119</v>
      </c>
      <c r="D465" t="s">
        <v>120</v>
      </c>
      <c r="E465" t="s">
        <v>88</v>
      </c>
      <c r="F465" t="s">
        <v>20</v>
      </c>
      <c r="G465" t="s">
        <v>35</v>
      </c>
      <c r="H465" t="s">
        <v>69</v>
      </c>
      <c r="I465">
        <v>5</v>
      </c>
      <c r="J465">
        <v>25000</v>
      </c>
      <c r="K465">
        <v>0</v>
      </c>
      <c r="L465">
        <v>125000</v>
      </c>
      <c r="M465">
        <v>102500</v>
      </c>
      <c r="N465">
        <v>22500</v>
      </c>
      <c r="O465" t="s">
        <v>23</v>
      </c>
      <c r="P465" t="s">
        <v>24</v>
      </c>
      <c r="Q465" t="str">
        <f>TEXT(Table1[[#This Row],[Order_Date]],"mmm")</f>
        <v>Dec</v>
      </c>
      <c r="R465" t="b">
        <f t="shared" si="7"/>
        <v>1</v>
      </c>
      <c r="T465" s="6">
        <f>Table1[[#This Row],[Profit]]/Table1[[#This Row],[Sales]]</f>
        <v>0.18</v>
      </c>
    </row>
    <row r="466" spans="1:20" x14ac:dyDescent="0.3">
      <c r="A466" t="s">
        <v>561</v>
      </c>
      <c r="B466" s="17">
        <v>45789</v>
      </c>
      <c r="C466" t="s">
        <v>47</v>
      </c>
      <c r="D466" t="s">
        <v>48</v>
      </c>
      <c r="E466" t="s">
        <v>80</v>
      </c>
      <c r="F466" t="s">
        <v>81</v>
      </c>
      <c r="G466" t="s">
        <v>40</v>
      </c>
      <c r="H466" t="s">
        <v>61</v>
      </c>
      <c r="I466">
        <v>3</v>
      </c>
      <c r="J466">
        <v>1800</v>
      </c>
      <c r="K466">
        <v>0</v>
      </c>
      <c r="L466">
        <v>5400</v>
      </c>
      <c r="M466">
        <v>3300</v>
      </c>
      <c r="N466">
        <v>2100</v>
      </c>
      <c r="O466" t="s">
        <v>23</v>
      </c>
      <c r="P466" t="s">
        <v>24</v>
      </c>
      <c r="Q466" t="str">
        <f>TEXT(Table1[[#This Row],[Order_Date]],"mmm")</f>
        <v>May</v>
      </c>
      <c r="R466" t="b">
        <f t="shared" si="7"/>
        <v>1</v>
      </c>
      <c r="T466" s="6">
        <f>Table1[[#This Row],[Profit]]/Table1[[#This Row],[Sales]]</f>
        <v>0.3888888888888889</v>
      </c>
    </row>
    <row r="467" spans="1:20" x14ac:dyDescent="0.3">
      <c r="A467" t="s">
        <v>562</v>
      </c>
      <c r="B467" s="17">
        <v>45678</v>
      </c>
      <c r="C467" t="s">
        <v>128</v>
      </c>
      <c r="D467" t="s">
        <v>129</v>
      </c>
      <c r="E467" t="s">
        <v>38</v>
      </c>
      <c r="F467" t="s">
        <v>34</v>
      </c>
      <c r="G467" t="s">
        <v>35</v>
      </c>
      <c r="H467" t="s">
        <v>36</v>
      </c>
      <c r="I467">
        <v>3</v>
      </c>
      <c r="J467">
        <v>12000</v>
      </c>
      <c r="K467">
        <v>0</v>
      </c>
      <c r="L467">
        <v>36000</v>
      </c>
      <c r="M467">
        <v>25500</v>
      </c>
      <c r="N467">
        <v>10500</v>
      </c>
      <c r="O467" t="s">
        <v>23</v>
      </c>
      <c r="P467" t="s">
        <v>24</v>
      </c>
      <c r="Q467" t="str">
        <f>TEXT(Table1[[#This Row],[Order_Date]],"mmm")</f>
        <v>Jan</v>
      </c>
      <c r="R467" t="b">
        <f t="shared" si="7"/>
        <v>1</v>
      </c>
      <c r="T467" s="6">
        <f>Table1[[#This Row],[Profit]]/Table1[[#This Row],[Sales]]</f>
        <v>0.29166666666666669</v>
      </c>
    </row>
    <row r="468" spans="1:20" x14ac:dyDescent="0.3">
      <c r="A468" t="s">
        <v>563</v>
      </c>
      <c r="B468" s="17">
        <v>45662</v>
      </c>
      <c r="C468" t="s">
        <v>135</v>
      </c>
      <c r="D468" t="s">
        <v>136</v>
      </c>
      <c r="E468" t="s">
        <v>77</v>
      </c>
      <c r="F468" t="s">
        <v>78</v>
      </c>
      <c r="G468" t="s">
        <v>40</v>
      </c>
      <c r="H468" t="s">
        <v>61</v>
      </c>
      <c r="I468">
        <v>2</v>
      </c>
      <c r="J468">
        <v>1800</v>
      </c>
      <c r="K468">
        <v>0.1</v>
      </c>
      <c r="L468">
        <v>3240</v>
      </c>
      <c r="M468">
        <v>2200</v>
      </c>
      <c r="N468">
        <v>1040</v>
      </c>
      <c r="O468" t="s">
        <v>97</v>
      </c>
      <c r="P468" t="s">
        <v>24</v>
      </c>
      <c r="Q468" t="str">
        <f>TEXT(Table1[[#This Row],[Order_Date]],"mmm")</f>
        <v>Jan</v>
      </c>
      <c r="R468" t="b">
        <f t="shared" si="7"/>
        <v>1</v>
      </c>
      <c r="T468" s="6">
        <f>Table1[[#This Row],[Profit]]/Table1[[#This Row],[Sales]]</f>
        <v>0.32098765432098764</v>
      </c>
    </row>
    <row r="469" spans="1:20" x14ac:dyDescent="0.3">
      <c r="A469" t="s">
        <v>564</v>
      </c>
      <c r="B469" s="17">
        <v>45848</v>
      </c>
      <c r="C469" t="s">
        <v>63</v>
      </c>
      <c r="D469" t="s">
        <v>64</v>
      </c>
      <c r="E469" t="s">
        <v>55</v>
      </c>
      <c r="F469" t="s">
        <v>20</v>
      </c>
      <c r="G469" t="s">
        <v>35</v>
      </c>
      <c r="H469" t="s">
        <v>57</v>
      </c>
      <c r="I469">
        <v>1</v>
      </c>
      <c r="J469">
        <v>2500</v>
      </c>
      <c r="K469">
        <v>0.1</v>
      </c>
      <c r="L469">
        <v>2250</v>
      </c>
      <c r="M469">
        <v>1700</v>
      </c>
      <c r="N469">
        <v>550</v>
      </c>
      <c r="O469" t="s">
        <v>97</v>
      </c>
      <c r="P469" t="s">
        <v>42</v>
      </c>
      <c r="Q469" t="str">
        <f>TEXT(Table1[[#This Row],[Order_Date]],"mmm")</f>
        <v>Jul</v>
      </c>
      <c r="R469" t="b">
        <f t="shared" si="7"/>
        <v>1</v>
      </c>
      <c r="T469" s="6">
        <f>Table1[[#This Row],[Profit]]/Table1[[#This Row],[Sales]]</f>
        <v>0.24444444444444444</v>
      </c>
    </row>
    <row r="470" spans="1:20" x14ac:dyDescent="0.3">
      <c r="A470" t="s">
        <v>565</v>
      </c>
      <c r="B470" s="17">
        <v>46011</v>
      </c>
      <c r="C470" t="s">
        <v>90</v>
      </c>
      <c r="D470" t="s">
        <v>91</v>
      </c>
      <c r="E470" t="s">
        <v>49</v>
      </c>
      <c r="F470" t="s">
        <v>50</v>
      </c>
      <c r="G470" t="s">
        <v>21</v>
      </c>
      <c r="H470" t="s">
        <v>22</v>
      </c>
      <c r="I470">
        <v>4</v>
      </c>
      <c r="J470">
        <v>3500</v>
      </c>
      <c r="K470">
        <v>0</v>
      </c>
      <c r="L470">
        <v>14000</v>
      </c>
      <c r="M470">
        <v>9600</v>
      </c>
      <c r="N470">
        <v>4400</v>
      </c>
      <c r="O470" t="s">
        <v>23</v>
      </c>
      <c r="P470" t="s">
        <v>24</v>
      </c>
      <c r="Q470" t="str">
        <f>TEXT(Table1[[#This Row],[Order_Date]],"mmm")</f>
        <v>Dec</v>
      </c>
      <c r="R470" t="b">
        <f t="shared" si="7"/>
        <v>1</v>
      </c>
      <c r="T470" s="6">
        <f>Table1[[#This Row],[Profit]]/Table1[[#This Row],[Sales]]</f>
        <v>0.31428571428571428</v>
      </c>
    </row>
    <row r="471" spans="1:20" x14ac:dyDescent="0.3">
      <c r="A471" t="s">
        <v>566</v>
      </c>
      <c r="B471" s="17">
        <v>45711</v>
      </c>
      <c r="C471" t="s">
        <v>26</v>
      </c>
      <c r="D471" t="s">
        <v>27</v>
      </c>
      <c r="E471" t="s">
        <v>85</v>
      </c>
      <c r="F471" t="s">
        <v>78</v>
      </c>
      <c r="G471" t="s">
        <v>35</v>
      </c>
      <c r="H471" t="s">
        <v>69</v>
      </c>
      <c r="I471">
        <v>4</v>
      </c>
      <c r="J471">
        <v>900</v>
      </c>
      <c r="K471">
        <v>0.15</v>
      </c>
      <c r="L471">
        <v>3060</v>
      </c>
      <c r="M471">
        <v>2000</v>
      </c>
      <c r="N471">
        <v>1060</v>
      </c>
      <c r="O471" t="s">
        <v>51</v>
      </c>
      <c r="P471" t="s">
        <v>42</v>
      </c>
      <c r="Q471" t="str">
        <f>TEXT(Table1[[#This Row],[Order_Date]],"mmm")</f>
        <v>Feb</v>
      </c>
      <c r="R471" t="b">
        <f t="shared" si="7"/>
        <v>1</v>
      </c>
      <c r="T471" s="6">
        <f>Table1[[#This Row],[Profit]]/Table1[[#This Row],[Sales]]</f>
        <v>0.34640522875816993</v>
      </c>
    </row>
    <row r="472" spans="1:20" x14ac:dyDescent="0.3">
      <c r="A472" t="s">
        <v>567</v>
      </c>
      <c r="B472" s="17">
        <v>45971</v>
      </c>
      <c r="C472" t="s">
        <v>75</v>
      </c>
      <c r="D472" t="s">
        <v>76</v>
      </c>
      <c r="E472" t="s">
        <v>60</v>
      </c>
      <c r="F472" t="s">
        <v>50</v>
      </c>
      <c r="G472" t="s">
        <v>35</v>
      </c>
      <c r="H472" t="s">
        <v>57</v>
      </c>
      <c r="I472">
        <v>2</v>
      </c>
      <c r="J472">
        <v>6000</v>
      </c>
      <c r="K472">
        <v>0</v>
      </c>
      <c r="L472">
        <v>12000</v>
      </c>
      <c r="M472">
        <v>8400</v>
      </c>
      <c r="N472">
        <v>3600</v>
      </c>
      <c r="O472" t="s">
        <v>51</v>
      </c>
      <c r="P472" t="s">
        <v>42</v>
      </c>
      <c r="Q472" t="str">
        <f>TEXT(Table1[[#This Row],[Order_Date]],"mmm")</f>
        <v>Nov</v>
      </c>
      <c r="R472" t="b">
        <f t="shared" si="7"/>
        <v>1</v>
      </c>
      <c r="T472" s="6">
        <f>Table1[[#This Row],[Profit]]/Table1[[#This Row],[Sales]]</f>
        <v>0.3</v>
      </c>
    </row>
    <row r="473" spans="1:20" x14ac:dyDescent="0.3">
      <c r="A473" t="s">
        <v>568</v>
      </c>
      <c r="B473" s="17">
        <v>45681</v>
      </c>
      <c r="C473" t="s">
        <v>119</v>
      </c>
      <c r="D473" t="s">
        <v>120</v>
      </c>
      <c r="E473" t="s">
        <v>44</v>
      </c>
      <c r="F473" t="s">
        <v>34</v>
      </c>
      <c r="G473" t="s">
        <v>28</v>
      </c>
      <c r="H473" t="s">
        <v>102</v>
      </c>
      <c r="I473">
        <v>3</v>
      </c>
      <c r="J473">
        <v>8000</v>
      </c>
      <c r="K473">
        <v>0.15</v>
      </c>
      <c r="L473">
        <v>20400</v>
      </c>
      <c r="M473">
        <v>16800</v>
      </c>
      <c r="N473">
        <v>3600</v>
      </c>
      <c r="O473" t="s">
        <v>58</v>
      </c>
      <c r="P473" t="s">
        <v>42</v>
      </c>
      <c r="Q473" t="str">
        <f>TEXT(Table1[[#This Row],[Order_Date]],"mmm")</f>
        <v>Jan</v>
      </c>
      <c r="R473" t="b">
        <f t="shared" si="7"/>
        <v>1</v>
      </c>
      <c r="T473" s="6">
        <f>Table1[[#This Row],[Profit]]/Table1[[#This Row],[Sales]]</f>
        <v>0.17647058823529413</v>
      </c>
    </row>
    <row r="474" spans="1:20" x14ac:dyDescent="0.3">
      <c r="A474" t="s">
        <v>569</v>
      </c>
      <c r="B474" s="17">
        <v>45923</v>
      </c>
      <c r="C474" t="s">
        <v>83</v>
      </c>
      <c r="D474" t="s">
        <v>84</v>
      </c>
      <c r="E474" t="s">
        <v>67</v>
      </c>
      <c r="F474" t="s">
        <v>50</v>
      </c>
      <c r="G474" t="s">
        <v>28</v>
      </c>
      <c r="H474" t="s">
        <v>73</v>
      </c>
      <c r="I474">
        <v>5</v>
      </c>
      <c r="J474">
        <v>4500</v>
      </c>
      <c r="K474">
        <v>0</v>
      </c>
      <c r="L474">
        <v>22500</v>
      </c>
      <c r="M474">
        <v>15500</v>
      </c>
      <c r="N474">
        <v>7000</v>
      </c>
      <c r="O474" t="s">
        <v>51</v>
      </c>
      <c r="P474" t="s">
        <v>42</v>
      </c>
      <c r="Q474" t="str">
        <f>TEXT(Table1[[#This Row],[Order_Date]],"mmm")</f>
        <v>Sep</v>
      </c>
      <c r="R474" t="b">
        <f t="shared" si="7"/>
        <v>1</v>
      </c>
      <c r="T474" s="6">
        <f>Table1[[#This Row],[Profit]]/Table1[[#This Row],[Sales]]</f>
        <v>0.31111111111111112</v>
      </c>
    </row>
    <row r="475" spans="1:20" x14ac:dyDescent="0.3">
      <c r="A475" t="s">
        <v>570</v>
      </c>
      <c r="B475" s="17">
        <v>45997</v>
      </c>
      <c r="C475" t="s">
        <v>122</v>
      </c>
      <c r="D475" t="s">
        <v>123</v>
      </c>
      <c r="E475" t="s">
        <v>55</v>
      </c>
      <c r="F475" t="s">
        <v>20</v>
      </c>
      <c r="G475" t="s">
        <v>28</v>
      </c>
      <c r="H475" t="s">
        <v>29</v>
      </c>
      <c r="I475">
        <v>5</v>
      </c>
      <c r="J475">
        <v>2500</v>
      </c>
      <c r="K475">
        <v>0</v>
      </c>
      <c r="L475">
        <v>12500</v>
      </c>
      <c r="M475">
        <v>8500</v>
      </c>
      <c r="N475">
        <v>4000</v>
      </c>
      <c r="O475" t="s">
        <v>51</v>
      </c>
      <c r="P475" t="s">
        <v>42</v>
      </c>
      <c r="Q475" t="str">
        <f>TEXT(Table1[[#This Row],[Order_Date]],"mmm")</f>
        <v>Dec</v>
      </c>
      <c r="R475" t="b">
        <f t="shared" si="7"/>
        <v>1</v>
      </c>
      <c r="T475" s="6">
        <f>Table1[[#This Row],[Profit]]/Table1[[#This Row],[Sales]]</f>
        <v>0.32</v>
      </c>
    </row>
    <row r="476" spans="1:20" x14ac:dyDescent="0.3">
      <c r="A476" t="s">
        <v>571</v>
      </c>
      <c r="B476" s="17">
        <v>45742</v>
      </c>
      <c r="C476" t="s">
        <v>119</v>
      </c>
      <c r="D476" t="s">
        <v>120</v>
      </c>
      <c r="E476" t="s">
        <v>49</v>
      </c>
      <c r="F476" t="s">
        <v>50</v>
      </c>
      <c r="G476" t="s">
        <v>40</v>
      </c>
      <c r="H476" t="s">
        <v>41</v>
      </c>
      <c r="I476">
        <v>4</v>
      </c>
      <c r="J476">
        <v>3500</v>
      </c>
      <c r="K476">
        <v>0.05</v>
      </c>
      <c r="L476">
        <v>13300</v>
      </c>
      <c r="M476">
        <v>9600</v>
      </c>
      <c r="N476">
        <v>3700</v>
      </c>
      <c r="O476" t="s">
        <v>97</v>
      </c>
      <c r="P476" t="s">
        <v>24</v>
      </c>
      <c r="Q476" t="str">
        <f>TEXT(Table1[[#This Row],[Order_Date]],"mmm")</f>
        <v>Mar</v>
      </c>
      <c r="R476" t="b">
        <f t="shared" si="7"/>
        <v>1</v>
      </c>
      <c r="T476" s="6">
        <f>Table1[[#This Row],[Profit]]/Table1[[#This Row],[Sales]]</f>
        <v>0.2781954887218045</v>
      </c>
    </row>
    <row r="477" spans="1:20" x14ac:dyDescent="0.3">
      <c r="A477" t="s">
        <v>572</v>
      </c>
      <c r="B477" s="17">
        <v>45917</v>
      </c>
      <c r="C477" t="s">
        <v>47</v>
      </c>
      <c r="D477" t="s">
        <v>48</v>
      </c>
      <c r="E477" t="s">
        <v>116</v>
      </c>
      <c r="F477" t="s">
        <v>78</v>
      </c>
      <c r="G477" t="s">
        <v>35</v>
      </c>
      <c r="H477" t="s">
        <v>69</v>
      </c>
      <c r="I477">
        <v>4</v>
      </c>
      <c r="J477">
        <v>3000</v>
      </c>
      <c r="K477">
        <v>0</v>
      </c>
      <c r="L477">
        <v>12000</v>
      </c>
      <c r="M477">
        <v>7600</v>
      </c>
      <c r="N477">
        <v>4400</v>
      </c>
      <c r="O477" t="s">
        <v>51</v>
      </c>
      <c r="P477" t="s">
        <v>42</v>
      </c>
      <c r="Q477" t="str">
        <f>TEXT(Table1[[#This Row],[Order_Date]],"mmm")</f>
        <v>Sep</v>
      </c>
      <c r="R477" t="b">
        <f t="shared" si="7"/>
        <v>1</v>
      </c>
      <c r="T477" s="6">
        <f>Table1[[#This Row],[Profit]]/Table1[[#This Row],[Sales]]</f>
        <v>0.36666666666666664</v>
      </c>
    </row>
    <row r="478" spans="1:20" x14ac:dyDescent="0.3">
      <c r="A478" t="s">
        <v>573</v>
      </c>
      <c r="B478" s="17">
        <v>45951</v>
      </c>
      <c r="C478" t="s">
        <v>107</v>
      </c>
      <c r="D478" t="s">
        <v>108</v>
      </c>
      <c r="E478" t="s">
        <v>88</v>
      </c>
      <c r="F478" t="s">
        <v>20</v>
      </c>
      <c r="G478" t="s">
        <v>35</v>
      </c>
      <c r="H478" t="s">
        <v>57</v>
      </c>
      <c r="I478">
        <v>4</v>
      </c>
      <c r="J478">
        <v>25000</v>
      </c>
      <c r="K478">
        <v>0</v>
      </c>
      <c r="L478">
        <v>100000</v>
      </c>
      <c r="M478">
        <v>82000</v>
      </c>
      <c r="N478">
        <v>18000</v>
      </c>
      <c r="O478" t="s">
        <v>51</v>
      </c>
      <c r="P478" t="s">
        <v>24</v>
      </c>
      <c r="Q478" t="str">
        <f>TEXT(Table1[[#This Row],[Order_Date]],"mmm")</f>
        <v>Oct</v>
      </c>
      <c r="R478" t="b">
        <f t="shared" si="7"/>
        <v>1</v>
      </c>
      <c r="T478" s="6">
        <f>Table1[[#This Row],[Profit]]/Table1[[#This Row],[Sales]]</f>
        <v>0.18</v>
      </c>
    </row>
    <row r="479" spans="1:20" x14ac:dyDescent="0.3">
      <c r="A479" t="s">
        <v>574</v>
      </c>
      <c r="B479" s="17">
        <v>45710</v>
      </c>
      <c r="C479" t="s">
        <v>122</v>
      </c>
      <c r="D479" t="s">
        <v>123</v>
      </c>
      <c r="E479" t="s">
        <v>33</v>
      </c>
      <c r="F479" t="s">
        <v>34</v>
      </c>
      <c r="G479" t="s">
        <v>28</v>
      </c>
      <c r="H479" t="s">
        <v>29</v>
      </c>
      <c r="I479">
        <v>1</v>
      </c>
      <c r="J479">
        <v>7000</v>
      </c>
      <c r="K479">
        <v>0.15</v>
      </c>
      <c r="L479">
        <v>5950</v>
      </c>
      <c r="M479">
        <v>4800</v>
      </c>
      <c r="N479">
        <v>1150</v>
      </c>
      <c r="O479" t="s">
        <v>97</v>
      </c>
      <c r="P479" t="s">
        <v>24</v>
      </c>
      <c r="Q479" t="str">
        <f>TEXT(Table1[[#This Row],[Order_Date]],"mmm")</f>
        <v>Feb</v>
      </c>
      <c r="R479" t="b">
        <f t="shared" si="7"/>
        <v>1</v>
      </c>
      <c r="T479" s="6">
        <f>Table1[[#This Row],[Profit]]/Table1[[#This Row],[Sales]]</f>
        <v>0.19327731092436976</v>
      </c>
    </row>
    <row r="480" spans="1:20" x14ac:dyDescent="0.3">
      <c r="A480" t="s">
        <v>575</v>
      </c>
      <c r="B480" s="17">
        <v>45993</v>
      </c>
      <c r="C480" t="s">
        <v>107</v>
      </c>
      <c r="D480" t="s">
        <v>108</v>
      </c>
      <c r="E480" t="s">
        <v>38</v>
      </c>
      <c r="F480" t="s">
        <v>34</v>
      </c>
      <c r="G480" t="s">
        <v>28</v>
      </c>
      <c r="H480" t="s">
        <v>29</v>
      </c>
      <c r="I480">
        <v>3</v>
      </c>
      <c r="J480">
        <v>12000</v>
      </c>
      <c r="K480">
        <v>0.1</v>
      </c>
      <c r="L480">
        <v>32400</v>
      </c>
      <c r="M480">
        <v>25500</v>
      </c>
      <c r="N480">
        <v>6900</v>
      </c>
      <c r="O480" t="s">
        <v>97</v>
      </c>
      <c r="P480" t="s">
        <v>42</v>
      </c>
      <c r="Q480" t="str">
        <f>TEXT(Table1[[#This Row],[Order_Date]],"mmm")</f>
        <v>Dec</v>
      </c>
      <c r="R480" t="b">
        <f t="shared" si="7"/>
        <v>1</v>
      </c>
      <c r="T480" s="6">
        <f>Table1[[#This Row],[Profit]]/Table1[[#This Row],[Sales]]</f>
        <v>0.21296296296296297</v>
      </c>
    </row>
    <row r="481" spans="1:20" x14ac:dyDescent="0.3">
      <c r="A481" t="s">
        <v>576</v>
      </c>
      <c r="B481" s="17">
        <v>45994</v>
      </c>
      <c r="C481" t="s">
        <v>53</v>
      </c>
      <c r="D481" t="s">
        <v>54</v>
      </c>
      <c r="E481" t="s">
        <v>67</v>
      </c>
      <c r="F481" t="s">
        <v>50</v>
      </c>
      <c r="G481" t="s">
        <v>28</v>
      </c>
      <c r="H481" t="s">
        <v>29</v>
      </c>
      <c r="I481">
        <v>4</v>
      </c>
      <c r="J481">
        <v>4500</v>
      </c>
      <c r="K481">
        <v>0</v>
      </c>
      <c r="L481">
        <v>18000</v>
      </c>
      <c r="M481">
        <v>12400</v>
      </c>
      <c r="N481">
        <v>5600</v>
      </c>
      <c r="O481" t="s">
        <v>23</v>
      </c>
      <c r="P481" t="s">
        <v>42</v>
      </c>
      <c r="Q481" t="str">
        <f>TEXT(Table1[[#This Row],[Order_Date]],"mmm")</f>
        <v>Dec</v>
      </c>
      <c r="R481" t="b">
        <f t="shared" si="7"/>
        <v>1</v>
      </c>
      <c r="T481" s="6">
        <f>Table1[[#This Row],[Profit]]/Table1[[#This Row],[Sales]]</f>
        <v>0.31111111111111112</v>
      </c>
    </row>
    <row r="482" spans="1:20" x14ac:dyDescent="0.3">
      <c r="A482" t="s">
        <v>577</v>
      </c>
      <c r="B482" s="17">
        <v>45839</v>
      </c>
      <c r="C482" t="s">
        <v>128</v>
      </c>
      <c r="D482" t="s">
        <v>129</v>
      </c>
      <c r="E482" t="s">
        <v>116</v>
      </c>
      <c r="F482" t="s">
        <v>78</v>
      </c>
      <c r="G482" t="s">
        <v>40</v>
      </c>
      <c r="H482" t="s">
        <v>45</v>
      </c>
      <c r="I482">
        <v>5</v>
      </c>
      <c r="J482">
        <v>3000</v>
      </c>
      <c r="K482">
        <v>0</v>
      </c>
      <c r="L482">
        <v>15000</v>
      </c>
      <c r="M482">
        <v>9500</v>
      </c>
      <c r="N482">
        <v>5500</v>
      </c>
      <c r="O482" t="s">
        <v>23</v>
      </c>
      <c r="P482" t="s">
        <v>24</v>
      </c>
      <c r="Q482" t="str">
        <f>TEXT(Table1[[#This Row],[Order_Date]],"mmm")</f>
        <v>Jul</v>
      </c>
      <c r="R482" t="b">
        <f t="shared" si="7"/>
        <v>1</v>
      </c>
      <c r="T482" s="6">
        <f>Table1[[#This Row],[Profit]]/Table1[[#This Row],[Sales]]</f>
        <v>0.36666666666666664</v>
      </c>
    </row>
    <row r="483" spans="1:20" x14ac:dyDescent="0.3">
      <c r="A483" t="s">
        <v>578</v>
      </c>
      <c r="B483" s="17">
        <v>45910</v>
      </c>
      <c r="C483" t="s">
        <v>135</v>
      </c>
      <c r="D483" t="s">
        <v>136</v>
      </c>
      <c r="E483" t="s">
        <v>60</v>
      </c>
      <c r="F483" t="s">
        <v>50</v>
      </c>
      <c r="G483" t="s">
        <v>28</v>
      </c>
      <c r="H483" t="s">
        <v>73</v>
      </c>
      <c r="I483">
        <v>4</v>
      </c>
      <c r="J483">
        <v>6000</v>
      </c>
      <c r="K483">
        <v>0.15</v>
      </c>
      <c r="L483">
        <v>20400</v>
      </c>
      <c r="M483">
        <v>16800</v>
      </c>
      <c r="N483">
        <v>3600</v>
      </c>
      <c r="O483" t="s">
        <v>58</v>
      </c>
      <c r="P483" t="s">
        <v>24</v>
      </c>
      <c r="Q483" t="str">
        <f>TEXT(Table1[[#This Row],[Order_Date]],"mmm")</f>
        <v>Sep</v>
      </c>
      <c r="R483" t="b">
        <f t="shared" si="7"/>
        <v>1</v>
      </c>
      <c r="T483" s="6">
        <f>Table1[[#This Row],[Profit]]/Table1[[#This Row],[Sales]]</f>
        <v>0.17647058823529413</v>
      </c>
    </row>
    <row r="484" spans="1:20" x14ac:dyDescent="0.3">
      <c r="A484" t="s">
        <v>579</v>
      </c>
      <c r="B484" s="17">
        <v>45719</v>
      </c>
      <c r="C484" t="s">
        <v>122</v>
      </c>
      <c r="D484" t="s">
        <v>123</v>
      </c>
      <c r="E484" t="s">
        <v>65</v>
      </c>
      <c r="F484" t="s">
        <v>20</v>
      </c>
      <c r="G484" t="s">
        <v>21</v>
      </c>
      <c r="H484" t="s">
        <v>95</v>
      </c>
      <c r="I484">
        <v>4</v>
      </c>
      <c r="J484">
        <v>5000</v>
      </c>
      <c r="K484">
        <v>0.05</v>
      </c>
      <c r="L484">
        <v>19000</v>
      </c>
      <c r="M484">
        <v>14000</v>
      </c>
      <c r="N484">
        <v>5000</v>
      </c>
      <c r="O484" t="s">
        <v>23</v>
      </c>
      <c r="P484" t="s">
        <v>42</v>
      </c>
      <c r="Q484" t="str">
        <f>TEXT(Table1[[#This Row],[Order_Date]],"mmm")</f>
        <v>Mar</v>
      </c>
      <c r="R484" t="b">
        <f t="shared" si="7"/>
        <v>1</v>
      </c>
      <c r="T484" s="6">
        <f>Table1[[#This Row],[Profit]]/Table1[[#This Row],[Sales]]</f>
        <v>0.26315789473684209</v>
      </c>
    </row>
    <row r="485" spans="1:20" x14ac:dyDescent="0.3">
      <c r="A485" t="s">
        <v>580</v>
      </c>
      <c r="B485" s="17">
        <v>45681</v>
      </c>
      <c r="C485" t="s">
        <v>113</v>
      </c>
      <c r="D485" t="s">
        <v>114</v>
      </c>
      <c r="E485" t="s">
        <v>88</v>
      </c>
      <c r="F485" t="s">
        <v>20</v>
      </c>
      <c r="G485" t="s">
        <v>35</v>
      </c>
      <c r="H485" t="s">
        <v>36</v>
      </c>
      <c r="I485">
        <v>4</v>
      </c>
      <c r="J485">
        <v>25000</v>
      </c>
      <c r="K485">
        <v>0.15</v>
      </c>
      <c r="L485">
        <v>85000</v>
      </c>
      <c r="M485">
        <v>82000</v>
      </c>
      <c r="N485">
        <v>3000</v>
      </c>
      <c r="O485" t="s">
        <v>58</v>
      </c>
      <c r="P485" t="s">
        <v>42</v>
      </c>
      <c r="Q485" t="str">
        <f>TEXT(Table1[[#This Row],[Order_Date]],"mmm")</f>
        <v>Jan</v>
      </c>
      <c r="R485" t="b">
        <f t="shared" si="7"/>
        <v>1</v>
      </c>
      <c r="T485" s="6">
        <f>Table1[[#This Row],[Profit]]/Table1[[#This Row],[Sales]]</f>
        <v>3.5294117647058823E-2</v>
      </c>
    </row>
    <row r="486" spans="1:20" x14ac:dyDescent="0.3">
      <c r="A486" t="s">
        <v>581</v>
      </c>
      <c r="B486" s="17">
        <v>45660</v>
      </c>
      <c r="C486" t="s">
        <v>83</v>
      </c>
      <c r="D486" t="s">
        <v>84</v>
      </c>
      <c r="E486" t="s">
        <v>67</v>
      </c>
      <c r="F486" t="s">
        <v>50</v>
      </c>
      <c r="G486" t="s">
        <v>35</v>
      </c>
      <c r="H486" t="s">
        <v>36</v>
      </c>
      <c r="I486">
        <v>1</v>
      </c>
      <c r="J486">
        <v>4500</v>
      </c>
      <c r="K486">
        <v>0.1</v>
      </c>
      <c r="L486">
        <v>4050</v>
      </c>
      <c r="M486">
        <v>3100</v>
      </c>
      <c r="N486">
        <v>950</v>
      </c>
      <c r="O486" t="s">
        <v>58</v>
      </c>
      <c r="P486" t="s">
        <v>24</v>
      </c>
      <c r="Q486" t="str">
        <f>TEXT(Table1[[#This Row],[Order_Date]],"mmm")</f>
        <v>Jan</v>
      </c>
      <c r="R486" t="b">
        <f t="shared" si="7"/>
        <v>1</v>
      </c>
      <c r="T486" s="6">
        <f>Table1[[#This Row],[Profit]]/Table1[[#This Row],[Sales]]</f>
        <v>0.23456790123456789</v>
      </c>
    </row>
    <row r="487" spans="1:20" x14ac:dyDescent="0.3">
      <c r="A487" t="s">
        <v>582</v>
      </c>
      <c r="B487" s="17">
        <v>45723</v>
      </c>
      <c r="C487" t="s">
        <v>17</v>
      </c>
      <c r="D487" t="s">
        <v>18</v>
      </c>
      <c r="E487" t="s">
        <v>33</v>
      </c>
      <c r="F487" t="s">
        <v>34</v>
      </c>
      <c r="G487" t="s">
        <v>40</v>
      </c>
      <c r="H487" t="s">
        <v>45</v>
      </c>
      <c r="I487">
        <v>5</v>
      </c>
      <c r="J487">
        <v>7000</v>
      </c>
      <c r="K487">
        <v>0.1</v>
      </c>
      <c r="L487">
        <v>31500</v>
      </c>
      <c r="M487">
        <v>24000</v>
      </c>
      <c r="N487">
        <v>7500</v>
      </c>
      <c r="O487" t="s">
        <v>51</v>
      </c>
      <c r="P487" t="s">
        <v>24</v>
      </c>
      <c r="Q487" t="str">
        <f>TEXT(Table1[[#This Row],[Order_Date]],"mmm")</f>
        <v>Mar</v>
      </c>
      <c r="R487" t="b">
        <f t="shared" si="7"/>
        <v>1</v>
      </c>
      <c r="T487" s="6">
        <f>Table1[[#This Row],[Profit]]/Table1[[#This Row],[Sales]]</f>
        <v>0.23809523809523808</v>
      </c>
    </row>
    <row r="488" spans="1:20" x14ac:dyDescent="0.3">
      <c r="A488" t="s">
        <v>583</v>
      </c>
      <c r="B488" s="17">
        <v>45798</v>
      </c>
      <c r="C488" t="s">
        <v>122</v>
      </c>
      <c r="D488" t="s">
        <v>123</v>
      </c>
      <c r="E488" t="s">
        <v>38</v>
      </c>
      <c r="F488" t="s">
        <v>34</v>
      </c>
      <c r="G488" t="s">
        <v>35</v>
      </c>
      <c r="H488" t="s">
        <v>69</v>
      </c>
      <c r="I488">
        <v>3</v>
      </c>
      <c r="J488">
        <v>12000</v>
      </c>
      <c r="K488">
        <v>0</v>
      </c>
      <c r="L488">
        <v>36000</v>
      </c>
      <c r="M488">
        <v>25500</v>
      </c>
      <c r="N488">
        <v>10500</v>
      </c>
      <c r="O488" t="s">
        <v>51</v>
      </c>
      <c r="P488" t="s">
        <v>42</v>
      </c>
      <c r="Q488" t="str">
        <f>TEXT(Table1[[#This Row],[Order_Date]],"mmm")</f>
        <v>May</v>
      </c>
      <c r="R488" t="b">
        <f t="shared" si="7"/>
        <v>1</v>
      </c>
      <c r="T488" s="6">
        <f>Table1[[#This Row],[Profit]]/Table1[[#This Row],[Sales]]</f>
        <v>0.29166666666666669</v>
      </c>
    </row>
    <row r="489" spans="1:20" x14ac:dyDescent="0.3">
      <c r="A489" t="s">
        <v>584</v>
      </c>
      <c r="B489" s="17">
        <v>46017</v>
      </c>
      <c r="C489" t="s">
        <v>31</v>
      </c>
      <c r="D489" t="s">
        <v>32</v>
      </c>
      <c r="E489" t="s">
        <v>60</v>
      </c>
      <c r="F489" t="s">
        <v>50</v>
      </c>
      <c r="G489" t="s">
        <v>21</v>
      </c>
      <c r="H489" t="s">
        <v>22</v>
      </c>
      <c r="I489">
        <v>3</v>
      </c>
      <c r="J489">
        <v>6000</v>
      </c>
      <c r="K489">
        <v>0</v>
      </c>
      <c r="L489">
        <v>18000</v>
      </c>
      <c r="M489">
        <v>12600</v>
      </c>
      <c r="N489">
        <v>5400</v>
      </c>
      <c r="O489" t="s">
        <v>97</v>
      </c>
      <c r="P489" t="s">
        <v>42</v>
      </c>
      <c r="Q489" t="str">
        <f>TEXT(Table1[[#This Row],[Order_Date]],"mmm")</f>
        <v>Dec</v>
      </c>
      <c r="R489" t="b">
        <f t="shared" si="7"/>
        <v>1</v>
      </c>
      <c r="T489" s="6">
        <f>Table1[[#This Row],[Profit]]/Table1[[#This Row],[Sales]]</f>
        <v>0.3</v>
      </c>
    </row>
    <row r="490" spans="1:20" x14ac:dyDescent="0.3">
      <c r="A490" t="s">
        <v>585</v>
      </c>
      <c r="B490" s="17">
        <v>46002</v>
      </c>
      <c r="C490" t="s">
        <v>135</v>
      </c>
      <c r="D490" t="s">
        <v>136</v>
      </c>
      <c r="E490" t="s">
        <v>67</v>
      </c>
      <c r="F490" t="s">
        <v>50</v>
      </c>
      <c r="G490" t="s">
        <v>40</v>
      </c>
      <c r="H490" t="s">
        <v>45</v>
      </c>
      <c r="I490">
        <v>2</v>
      </c>
      <c r="J490">
        <v>4500</v>
      </c>
      <c r="K490">
        <v>0</v>
      </c>
      <c r="L490">
        <v>9000</v>
      </c>
      <c r="M490">
        <v>6200</v>
      </c>
      <c r="N490">
        <v>2800</v>
      </c>
      <c r="O490" t="s">
        <v>97</v>
      </c>
      <c r="P490" t="s">
        <v>42</v>
      </c>
      <c r="Q490" t="str">
        <f>TEXT(Table1[[#This Row],[Order_Date]],"mmm")</f>
        <v>Dec</v>
      </c>
      <c r="R490" t="b">
        <f t="shared" si="7"/>
        <v>1</v>
      </c>
      <c r="T490" s="6">
        <f>Table1[[#This Row],[Profit]]/Table1[[#This Row],[Sales]]</f>
        <v>0.31111111111111112</v>
      </c>
    </row>
    <row r="491" spans="1:20" x14ac:dyDescent="0.3">
      <c r="A491" t="s">
        <v>586</v>
      </c>
      <c r="B491" s="17">
        <v>45956</v>
      </c>
      <c r="C491" t="s">
        <v>113</v>
      </c>
      <c r="D491" t="s">
        <v>114</v>
      </c>
      <c r="E491" t="s">
        <v>77</v>
      </c>
      <c r="F491" t="s">
        <v>78</v>
      </c>
      <c r="G491" t="s">
        <v>40</v>
      </c>
      <c r="H491" t="s">
        <v>61</v>
      </c>
      <c r="I491">
        <v>4</v>
      </c>
      <c r="J491">
        <v>1800</v>
      </c>
      <c r="K491">
        <v>0</v>
      </c>
      <c r="L491">
        <v>7200</v>
      </c>
      <c r="M491">
        <v>4400</v>
      </c>
      <c r="N491">
        <v>2800</v>
      </c>
      <c r="O491" t="s">
        <v>23</v>
      </c>
      <c r="P491" t="s">
        <v>24</v>
      </c>
      <c r="Q491" t="str">
        <f>TEXT(Table1[[#This Row],[Order_Date]],"mmm")</f>
        <v>Oct</v>
      </c>
      <c r="R491" t="b">
        <f t="shared" si="7"/>
        <v>1</v>
      </c>
      <c r="T491" s="6">
        <f>Table1[[#This Row],[Profit]]/Table1[[#This Row],[Sales]]</f>
        <v>0.3888888888888889</v>
      </c>
    </row>
    <row r="492" spans="1:20" x14ac:dyDescent="0.3">
      <c r="A492" t="s">
        <v>587</v>
      </c>
      <c r="B492" s="17">
        <v>45853</v>
      </c>
      <c r="C492" t="s">
        <v>135</v>
      </c>
      <c r="D492" t="s">
        <v>136</v>
      </c>
      <c r="E492" t="s">
        <v>19</v>
      </c>
      <c r="F492" t="s">
        <v>20</v>
      </c>
      <c r="G492" t="s">
        <v>21</v>
      </c>
      <c r="H492" t="s">
        <v>86</v>
      </c>
      <c r="I492">
        <v>1</v>
      </c>
      <c r="J492">
        <v>55000</v>
      </c>
      <c r="K492">
        <v>0</v>
      </c>
      <c r="L492">
        <v>55000</v>
      </c>
      <c r="M492">
        <v>45000</v>
      </c>
      <c r="N492">
        <v>10000</v>
      </c>
      <c r="O492" t="s">
        <v>97</v>
      </c>
      <c r="P492" t="s">
        <v>42</v>
      </c>
      <c r="Q492" t="str">
        <f>TEXT(Table1[[#This Row],[Order_Date]],"mmm")</f>
        <v>Jul</v>
      </c>
      <c r="R492" t="b">
        <f t="shared" si="7"/>
        <v>1</v>
      </c>
      <c r="T492" s="6">
        <f>Table1[[#This Row],[Profit]]/Table1[[#This Row],[Sales]]</f>
        <v>0.18181818181818182</v>
      </c>
    </row>
    <row r="493" spans="1:20" x14ac:dyDescent="0.3">
      <c r="A493" t="s">
        <v>588</v>
      </c>
      <c r="B493" s="17">
        <v>45732</v>
      </c>
      <c r="C493" t="s">
        <v>100</v>
      </c>
      <c r="D493" t="s">
        <v>101</v>
      </c>
      <c r="E493" t="s">
        <v>67</v>
      </c>
      <c r="F493" t="s">
        <v>50</v>
      </c>
      <c r="G493" t="s">
        <v>21</v>
      </c>
      <c r="H493" t="s">
        <v>95</v>
      </c>
      <c r="I493">
        <v>3</v>
      </c>
      <c r="J493">
        <v>4500</v>
      </c>
      <c r="K493">
        <v>0</v>
      </c>
      <c r="L493">
        <v>13500</v>
      </c>
      <c r="M493">
        <v>9300</v>
      </c>
      <c r="N493">
        <v>4200</v>
      </c>
      <c r="O493" t="s">
        <v>97</v>
      </c>
      <c r="P493" t="s">
        <v>42</v>
      </c>
      <c r="Q493" t="str">
        <f>TEXT(Table1[[#This Row],[Order_Date]],"mmm")</f>
        <v>Mar</v>
      </c>
      <c r="R493" t="b">
        <f t="shared" si="7"/>
        <v>1</v>
      </c>
      <c r="T493" s="6">
        <f>Table1[[#This Row],[Profit]]/Table1[[#This Row],[Sales]]</f>
        <v>0.31111111111111112</v>
      </c>
    </row>
    <row r="494" spans="1:20" x14ac:dyDescent="0.3">
      <c r="A494" t="s">
        <v>589</v>
      </c>
      <c r="B494" s="17">
        <v>45710</v>
      </c>
      <c r="C494" t="s">
        <v>93</v>
      </c>
      <c r="D494" t="s">
        <v>94</v>
      </c>
      <c r="E494" t="s">
        <v>60</v>
      </c>
      <c r="F494" t="s">
        <v>50</v>
      </c>
      <c r="G494" t="s">
        <v>21</v>
      </c>
      <c r="H494" t="s">
        <v>95</v>
      </c>
      <c r="I494">
        <v>5</v>
      </c>
      <c r="J494">
        <v>6000</v>
      </c>
      <c r="K494">
        <v>0.15</v>
      </c>
      <c r="L494">
        <v>25500</v>
      </c>
      <c r="M494">
        <v>21000</v>
      </c>
      <c r="N494">
        <v>4500</v>
      </c>
      <c r="O494" t="s">
        <v>51</v>
      </c>
      <c r="P494" t="s">
        <v>24</v>
      </c>
      <c r="Q494" t="str">
        <f>TEXT(Table1[[#This Row],[Order_Date]],"mmm")</f>
        <v>Feb</v>
      </c>
      <c r="R494" t="b">
        <f t="shared" si="7"/>
        <v>1</v>
      </c>
      <c r="T494" s="6">
        <f>Table1[[#This Row],[Profit]]/Table1[[#This Row],[Sales]]</f>
        <v>0.17647058823529413</v>
      </c>
    </row>
    <row r="495" spans="1:20" x14ac:dyDescent="0.3">
      <c r="A495" t="s">
        <v>590</v>
      </c>
      <c r="B495" s="17">
        <v>45919</v>
      </c>
      <c r="C495" t="s">
        <v>128</v>
      </c>
      <c r="D495" t="s">
        <v>129</v>
      </c>
      <c r="E495" t="s">
        <v>67</v>
      </c>
      <c r="F495" t="s">
        <v>50</v>
      </c>
      <c r="G495" t="s">
        <v>35</v>
      </c>
      <c r="H495" t="s">
        <v>57</v>
      </c>
      <c r="I495">
        <v>1</v>
      </c>
      <c r="J495">
        <v>4500</v>
      </c>
      <c r="K495">
        <v>0.1</v>
      </c>
      <c r="L495">
        <v>4050</v>
      </c>
      <c r="M495">
        <v>3100</v>
      </c>
      <c r="N495">
        <v>950</v>
      </c>
      <c r="O495" t="s">
        <v>97</v>
      </c>
      <c r="P495" t="s">
        <v>24</v>
      </c>
      <c r="Q495" t="str">
        <f>TEXT(Table1[[#This Row],[Order_Date]],"mmm")</f>
        <v>Sep</v>
      </c>
      <c r="R495" t="b">
        <f t="shared" si="7"/>
        <v>1</v>
      </c>
      <c r="T495" s="6">
        <f>Table1[[#This Row],[Profit]]/Table1[[#This Row],[Sales]]</f>
        <v>0.23456790123456789</v>
      </c>
    </row>
    <row r="496" spans="1:20" x14ac:dyDescent="0.3">
      <c r="A496" t="s">
        <v>591</v>
      </c>
      <c r="B496" s="17">
        <v>45664</v>
      </c>
      <c r="C496" t="s">
        <v>132</v>
      </c>
      <c r="D496" t="s">
        <v>133</v>
      </c>
      <c r="E496" t="s">
        <v>65</v>
      </c>
      <c r="F496" t="s">
        <v>20</v>
      </c>
      <c r="G496" t="s">
        <v>35</v>
      </c>
      <c r="H496" t="s">
        <v>69</v>
      </c>
      <c r="I496">
        <v>5</v>
      </c>
      <c r="J496">
        <v>5000</v>
      </c>
      <c r="K496">
        <v>0.05</v>
      </c>
      <c r="L496">
        <v>23750</v>
      </c>
      <c r="M496">
        <v>17500</v>
      </c>
      <c r="N496">
        <v>6250</v>
      </c>
      <c r="O496" t="s">
        <v>58</v>
      </c>
      <c r="P496" t="s">
        <v>24</v>
      </c>
      <c r="Q496" t="str">
        <f>TEXT(Table1[[#This Row],[Order_Date]],"mmm")</f>
        <v>Jan</v>
      </c>
      <c r="R496" t="b">
        <f t="shared" si="7"/>
        <v>1</v>
      </c>
      <c r="T496" s="6">
        <f>Table1[[#This Row],[Profit]]/Table1[[#This Row],[Sales]]</f>
        <v>0.26315789473684209</v>
      </c>
    </row>
    <row r="497" spans="1:20" x14ac:dyDescent="0.3">
      <c r="A497" t="s">
        <v>592</v>
      </c>
      <c r="B497" s="17">
        <v>45808</v>
      </c>
      <c r="C497" t="s">
        <v>107</v>
      </c>
      <c r="D497" t="s">
        <v>108</v>
      </c>
      <c r="E497" t="s">
        <v>55</v>
      </c>
      <c r="F497" t="s">
        <v>20</v>
      </c>
      <c r="G497" t="s">
        <v>21</v>
      </c>
      <c r="H497" t="s">
        <v>22</v>
      </c>
      <c r="I497">
        <v>1</v>
      </c>
      <c r="J497">
        <v>2500</v>
      </c>
      <c r="K497">
        <v>0.15</v>
      </c>
      <c r="L497">
        <v>2125</v>
      </c>
      <c r="M497">
        <v>1700</v>
      </c>
      <c r="N497">
        <v>425</v>
      </c>
      <c r="O497" t="s">
        <v>23</v>
      </c>
      <c r="P497" t="s">
        <v>42</v>
      </c>
      <c r="Q497" t="str">
        <f>TEXT(Table1[[#This Row],[Order_Date]],"mmm")</f>
        <v>May</v>
      </c>
      <c r="R497" t="b">
        <f t="shared" si="7"/>
        <v>1</v>
      </c>
      <c r="T497" s="6">
        <f>Table1[[#This Row],[Profit]]/Table1[[#This Row],[Sales]]</f>
        <v>0.2</v>
      </c>
    </row>
    <row r="498" spans="1:20" x14ac:dyDescent="0.3">
      <c r="A498" t="s">
        <v>593</v>
      </c>
      <c r="B498" s="17">
        <v>45678</v>
      </c>
      <c r="C498" t="s">
        <v>26</v>
      </c>
      <c r="D498" t="s">
        <v>27</v>
      </c>
      <c r="E498" t="s">
        <v>44</v>
      </c>
      <c r="F498" t="s">
        <v>34</v>
      </c>
      <c r="G498" t="s">
        <v>40</v>
      </c>
      <c r="H498" t="s">
        <v>41</v>
      </c>
      <c r="I498">
        <v>5</v>
      </c>
      <c r="J498">
        <v>8000</v>
      </c>
      <c r="K498">
        <v>0</v>
      </c>
      <c r="L498">
        <v>40000</v>
      </c>
      <c r="M498">
        <v>28000</v>
      </c>
      <c r="N498">
        <v>12000</v>
      </c>
      <c r="O498" t="s">
        <v>97</v>
      </c>
      <c r="P498" t="s">
        <v>24</v>
      </c>
      <c r="Q498" t="str">
        <f>TEXT(Table1[[#This Row],[Order_Date]],"mmm")</f>
        <v>Jan</v>
      </c>
      <c r="R498" t="b">
        <f t="shared" si="7"/>
        <v>1</v>
      </c>
      <c r="T498" s="6">
        <f>Table1[[#This Row],[Profit]]/Table1[[#This Row],[Sales]]</f>
        <v>0.3</v>
      </c>
    </row>
    <row r="499" spans="1:20" x14ac:dyDescent="0.3">
      <c r="A499" t="s">
        <v>594</v>
      </c>
      <c r="B499" s="17">
        <v>45827</v>
      </c>
      <c r="C499" t="s">
        <v>107</v>
      </c>
      <c r="D499" t="s">
        <v>108</v>
      </c>
      <c r="E499" t="s">
        <v>67</v>
      </c>
      <c r="F499" t="s">
        <v>50</v>
      </c>
      <c r="G499" t="s">
        <v>28</v>
      </c>
      <c r="H499" t="s">
        <v>29</v>
      </c>
      <c r="I499">
        <v>2</v>
      </c>
      <c r="J499">
        <v>4500</v>
      </c>
      <c r="K499">
        <v>0.05</v>
      </c>
      <c r="L499">
        <v>8550</v>
      </c>
      <c r="M499">
        <v>6200</v>
      </c>
      <c r="N499">
        <v>2350</v>
      </c>
      <c r="O499" t="s">
        <v>23</v>
      </c>
      <c r="P499" t="s">
        <v>42</v>
      </c>
      <c r="Q499" t="str">
        <f>TEXT(Table1[[#This Row],[Order_Date]],"mmm")</f>
        <v>Jun</v>
      </c>
      <c r="R499" t="b">
        <f t="shared" si="7"/>
        <v>1</v>
      </c>
      <c r="T499" s="6">
        <f>Table1[[#This Row],[Profit]]/Table1[[#This Row],[Sales]]</f>
        <v>0.27485380116959063</v>
      </c>
    </row>
    <row r="500" spans="1:20" x14ac:dyDescent="0.3">
      <c r="A500" t="s">
        <v>595</v>
      </c>
      <c r="B500" s="17">
        <v>45909</v>
      </c>
      <c r="C500" t="s">
        <v>113</v>
      </c>
      <c r="D500" t="s">
        <v>114</v>
      </c>
      <c r="E500" t="s">
        <v>116</v>
      </c>
      <c r="F500" t="s">
        <v>78</v>
      </c>
      <c r="G500" t="s">
        <v>28</v>
      </c>
      <c r="H500" t="s">
        <v>102</v>
      </c>
      <c r="I500">
        <v>3</v>
      </c>
      <c r="J500">
        <v>3000</v>
      </c>
      <c r="K500">
        <v>0.05</v>
      </c>
      <c r="L500">
        <v>8550</v>
      </c>
      <c r="M500">
        <v>5700</v>
      </c>
      <c r="N500">
        <v>2850</v>
      </c>
      <c r="O500" t="s">
        <v>58</v>
      </c>
      <c r="P500" t="s">
        <v>24</v>
      </c>
      <c r="Q500" t="str">
        <f>TEXT(Table1[[#This Row],[Order_Date]],"mmm")</f>
        <v>Sep</v>
      </c>
      <c r="R500" t="b">
        <f t="shared" si="7"/>
        <v>1</v>
      </c>
      <c r="T500" s="6">
        <f>Table1[[#This Row],[Profit]]/Table1[[#This Row],[Sales]]</f>
        <v>0.33333333333333331</v>
      </c>
    </row>
    <row r="501" spans="1:20" x14ac:dyDescent="0.3">
      <c r="A501" t="s">
        <v>596</v>
      </c>
      <c r="B501" s="17">
        <v>45924</v>
      </c>
      <c r="C501" t="s">
        <v>119</v>
      </c>
      <c r="D501" t="s">
        <v>120</v>
      </c>
      <c r="E501" t="s">
        <v>49</v>
      </c>
      <c r="F501" t="s">
        <v>50</v>
      </c>
      <c r="G501" t="s">
        <v>21</v>
      </c>
      <c r="H501" t="s">
        <v>86</v>
      </c>
      <c r="I501">
        <v>5</v>
      </c>
      <c r="J501">
        <v>3500</v>
      </c>
      <c r="K501">
        <v>0.15</v>
      </c>
      <c r="L501">
        <v>14875</v>
      </c>
      <c r="M501">
        <v>12000</v>
      </c>
      <c r="N501">
        <v>2875</v>
      </c>
      <c r="O501" t="s">
        <v>51</v>
      </c>
      <c r="P501" t="s">
        <v>24</v>
      </c>
      <c r="Q501" t="str">
        <f>TEXT(Table1[[#This Row],[Order_Date]],"mmm")</f>
        <v>Sep</v>
      </c>
      <c r="R501" t="b">
        <f t="shared" si="7"/>
        <v>1</v>
      </c>
      <c r="T501" s="6">
        <f>Table1[[#This Row],[Profit]]/Table1[[#This Row],[Sales]]</f>
        <v>0.19327731092436976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41AC-797B-4B63-B252-F3986673F9FA}">
  <sheetPr codeName="Sheet2"/>
  <dimension ref="B2:N125"/>
  <sheetViews>
    <sheetView workbookViewId="0">
      <selection activeCell="C9" sqref="C9"/>
    </sheetView>
  </sheetViews>
  <sheetFormatPr defaultRowHeight="14.4" x14ac:dyDescent="0.3"/>
  <cols>
    <col min="2" max="2" width="12.5546875" bestFit="1" customWidth="1"/>
    <col min="3" max="3" width="11.6640625" bestFit="1" customWidth="1"/>
    <col min="9" max="10" width="12.5546875" bestFit="1" customWidth="1"/>
    <col min="13" max="13" width="19.109375" bestFit="1" customWidth="1"/>
    <col min="14" max="14" width="11.6640625" bestFit="1" customWidth="1"/>
  </cols>
  <sheetData>
    <row r="2" spans="2:14" x14ac:dyDescent="0.3">
      <c r="I2" s="20" t="s">
        <v>626</v>
      </c>
      <c r="J2" s="20"/>
      <c r="M2" t="s">
        <v>635</v>
      </c>
    </row>
    <row r="3" spans="2:14" x14ac:dyDescent="0.3">
      <c r="B3" s="20" t="s">
        <v>597</v>
      </c>
      <c r="C3" s="20"/>
      <c r="D3" s="20"/>
      <c r="E3" s="20"/>
    </row>
    <row r="4" spans="2:14" x14ac:dyDescent="0.3">
      <c r="B4" s="2" t="s">
        <v>598</v>
      </c>
      <c r="C4" t="s">
        <v>600</v>
      </c>
      <c r="I4" s="2" t="s">
        <v>598</v>
      </c>
      <c r="J4" t="s">
        <v>600</v>
      </c>
    </row>
    <row r="5" spans="2:14" x14ac:dyDescent="0.3">
      <c r="B5" s="3" t="s">
        <v>81</v>
      </c>
      <c r="C5">
        <v>165870</v>
      </c>
      <c r="I5" s="3" t="s">
        <v>45</v>
      </c>
      <c r="J5" s="12">
        <v>739470</v>
      </c>
      <c r="M5" s="2" t="s">
        <v>598</v>
      </c>
      <c r="N5" t="s">
        <v>621</v>
      </c>
    </row>
    <row r="6" spans="2:14" x14ac:dyDescent="0.3">
      <c r="B6" s="3" t="s">
        <v>20</v>
      </c>
      <c r="C6">
        <v>8077250</v>
      </c>
      <c r="I6" s="3" t="s">
        <v>29</v>
      </c>
      <c r="J6" s="12">
        <v>1150380</v>
      </c>
      <c r="M6" s="3" t="s">
        <v>35</v>
      </c>
      <c r="N6" s="12">
        <v>781920</v>
      </c>
    </row>
    <row r="7" spans="2:14" x14ac:dyDescent="0.3">
      <c r="B7" s="3" t="s">
        <v>78</v>
      </c>
      <c r="C7">
        <v>651780</v>
      </c>
      <c r="I7" s="3" t="s">
        <v>57</v>
      </c>
      <c r="J7" s="12">
        <v>834740</v>
      </c>
      <c r="M7" s="4" t="s">
        <v>81</v>
      </c>
      <c r="N7">
        <v>21650</v>
      </c>
    </row>
    <row r="8" spans="2:14" x14ac:dyDescent="0.3">
      <c r="B8" s="3" t="s">
        <v>34</v>
      </c>
      <c r="C8">
        <v>2678150</v>
      </c>
      <c r="I8" s="3" t="s">
        <v>73</v>
      </c>
      <c r="J8" s="12">
        <v>1113100</v>
      </c>
      <c r="M8" s="4" t="s">
        <v>20</v>
      </c>
      <c r="N8">
        <v>322650</v>
      </c>
    </row>
    <row r="9" spans="2:14" x14ac:dyDescent="0.3">
      <c r="B9" s="3" t="s">
        <v>50</v>
      </c>
      <c r="C9">
        <v>1301225</v>
      </c>
      <c r="I9" s="3" t="s">
        <v>22</v>
      </c>
      <c r="J9" s="12">
        <v>995105</v>
      </c>
      <c r="M9" s="4" t="s">
        <v>78</v>
      </c>
      <c r="N9">
        <v>63995</v>
      </c>
    </row>
    <row r="10" spans="2:14" x14ac:dyDescent="0.3">
      <c r="B10" s="3" t="s">
        <v>599</v>
      </c>
      <c r="C10" s="14">
        <v>12874275</v>
      </c>
      <c r="I10" s="3" t="s">
        <v>102</v>
      </c>
      <c r="J10" s="12">
        <v>704215</v>
      </c>
      <c r="M10" s="4" t="s">
        <v>34</v>
      </c>
      <c r="N10">
        <v>262000</v>
      </c>
    </row>
    <row r="11" spans="2:14" x14ac:dyDescent="0.3">
      <c r="I11" s="3" t="s">
        <v>86</v>
      </c>
      <c r="J11" s="12">
        <v>1304775</v>
      </c>
      <c r="M11" s="4" t="s">
        <v>50</v>
      </c>
      <c r="N11">
        <v>111625</v>
      </c>
    </row>
    <row r="12" spans="2:14" x14ac:dyDescent="0.3">
      <c r="B12" s="20" t="s">
        <v>601</v>
      </c>
      <c r="C12" s="20"/>
      <c r="I12" s="3" t="s">
        <v>69</v>
      </c>
      <c r="J12" s="12">
        <v>1283885</v>
      </c>
      <c r="M12" s="3" t="s">
        <v>21</v>
      </c>
      <c r="N12" s="12">
        <v>592330</v>
      </c>
    </row>
    <row r="13" spans="2:14" x14ac:dyDescent="0.3">
      <c r="B13" s="2" t="s">
        <v>598</v>
      </c>
      <c r="C13" t="s">
        <v>600</v>
      </c>
      <c r="I13" s="3" t="s">
        <v>95</v>
      </c>
      <c r="J13" s="12">
        <v>971450</v>
      </c>
      <c r="M13" s="4" t="s">
        <v>81</v>
      </c>
      <c r="N13">
        <v>16560</v>
      </c>
    </row>
    <row r="14" spans="2:14" x14ac:dyDescent="0.3">
      <c r="B14" s="3" t="s">
        <v>35</v>
      </c>
      <c r="C14" s="12">
        <v>3669420</v>
      </c>
      <c r="I14" s="3" t="s">
        <v>41</v>
      </c>
      <c r="J14" s="12">
        <v>1816680</v>
      </c>
      <c r="M14" s="4" t="s">
        <v>20</v>
      </c>
      <c r="N14">
        <v>321825</v>
      </c>
    </row>
    <row r="15" spans="2:14" x14ac:dyDescent="0.3">
      <c r="B15" s="3" t="s">
        <v>21</v>
      </c>
      <c r="C15" s="12">
        <v>3271330</v>
      </c>
      <c r="I15" s="3" t="s">
        <v>36</v>
      </c>
      <c r="J15" s="12">
        <v>1550795</v>
      </c>
      <c r="M15" s="4" t="s">
        <v>78</v>
      </c>
      <c r="N15">
        <v>43820</v>
      </c>
    </row>
    <row r="16" spans="2:14" x14ac:dyDescent="0.3">
      <c r="B16" s="3" t="s">
        <v>28</v>
      </c>
      <c r="C16" s="12">
        <v>2967695</v>
      </c>
      <c r="I16" s="3" t="s">
        <v>61</v>
      </c>
      <c r="J16" s="12">
        <v>409680</v>
      </c>
      <c r="M16" s="4" t="s">
        <v>34</v>
      </c>
      <c r="N16">
        <v>139150</v>
      </c>
    </row>
    <row r="17" spans="2:14" x14ac:dyDescent="0.3">
      <c r="B17" s="3" t="s">
        <v>40</v>
      </c>
      <c r="C17" s="12">
        <v>2965830</v>
      </c>
      <c r="I17" s="3" t="s">
        <v>599</v>
      </c>
      <c r="J17" s="14">
        <v>12874275</v>
      </c>
      <c r="M17" s="4" t="s">
        <v>50</v>
      </c>
      <c r="N17">
        <v>70975</v>
      </c>
    </row>
    <row r="18" spans="2:14" x14ac:dyDescent="0.3">
      <c r="B18" s="3" t="s">
        <v>599</v>
      </c>
      <c r="C18" s="14">
        <v>12874275</v>
      </c>
      <c r="M18" s="3" t="s">
        <v>28</v>
      </c>
      <c r="N18" s="12">
        <v>594495</v>
      </c>
    </row>
    <row r="19" spans="2:14" x14ac:dyDescent="0.3">
      <c r="M19" s="4" t="s">
        <v>81</v>
      </c>
      <c r="N19">
        <v>9760</v>
      </c>
    </row>
    <row r="20" spans="2:14" x14ac:dyDescent="0.3">
      <c r="B20" t="s">
        <v>602</v>
      </c>
      <c r="I20" s="20" t="s">
        <v>627</v>
      </c>
      <c r="J20" s="20"/>
      <c r="M20" s="4" t="s">
        <v>20</v>
      </c>
      <c r="N20">
        <v>276400</v>
      </c>
    </row>
    <row r="21" spans="2:14" x14ac:dyDescent="0.3">
      <c r="B21" s="2" t="s">
        <v>598</v>
      </c>
      <c r="C21" t="s">
        <v>600</v>
      </c>
      <c r="M21" s="4" t="s">
        <v>78</v>
      </c>
      <c r="N21">
        <v>59435</v>
      </c>
    </row>
    <row r="22" spans="2:14" x14ac:dyDescent="0.3">
      <c r="B22" s="3" t="s">
        <v>19</v>
      </c>
      <c r="C22">
        <v>5153500</v>
      </c>
      <c r="I22" s="2" t="s">
        <v>598</v>
      </c>
      <c r="J22" t="s">
        <v>600</v>
      </c>
      <c r="M22" s="4" t="s">
        <v>34</v>
      </c>
      <c r="N22">
        <v>164650</v>
      </c>
    </row>
    <row r="23" spans="2:14" x14ac:dyDescent="0.3">
      <c r="B23" s="3" t="s">
        <v>599</v>
      </c>
      <c r="C23" s="5">
        <v>5153500</v>
      </c>
      <c r="I23" s="3" t="s">
        <v>123</v>
      </c>
      <c r="J23">
        <v>698655</v>
      </c>
      <c r="M23" s="4" t="s">
        <v>50</v>
      </c>
      <c r="N23">
        <v>84250</v>
      </c>
    </row>
    <row r="24" spans="2:14" x14ac:dyDescent="0.3">
      <c r="I24" s="3" t="s">
        <v>72</v>
      </c>
      <c r="J24">
        <v>550800</v>
      </c>
      <c r="M24" s="3" t="s">
        <v>40</v>
      </c>
      <c r="N24" s="12">
        <v>579930</v>
      </c>
    </row>
    <row r="25" spans="2:14" x14ac:dyDescent="0.3">
      <c r="B25" s="20" t="s">
        <v>603</v>
      </c>
      <c r="C25" s="20"/>
      <c r="I25" s="3" t="s">
        <v>120</v>
      </c>
      <c r="J25">
        <v>512180</v>
      </c>
      <c r="M25" s="4" t="s">
        <v>81</v>
      </c>
      <c r="N25">
        <v>10100</v>
      </c>
    </row>
    <row r="26" spans="2:14" x14ac:dyDescent="0.3">
      <c r="I26" s="3" t="s">
        <v>94</v>
      </c>
      <c r="J26">
        <v>702740</v>
      </c>
      <c r="M26" s="4" t="s">
        <v>20</v>
      </c>
      <c r="N26">
        <v>289275</v>
      </c>
    </row>
    <row r="27" spans="2:14" x14ac:dyDescent="0.3">
      <c r="B27" s="2" t="s">
        <v>598</v>
      </c>
      <c r="C27" t="s">
        <v>600</v>
      </c>
      <c r="I27" s="3" t="s">
        <v>54</v>
      </c>
      <c r="J27">
        <v>711820</v>
      </c>
      <c r="M27" s="4" t="s">
        <v>78</v>
      </c>
      <c r="N27">
        <v>62130</v>
      </c>
    </row>
    <row r="28" spans="2:14" x14ac:dyDescent="0.3">
      <c r="B28" s="3" t="s">
        <v>33</v>
      </c>
      <c r="C28" s="12">
        <v>700350</v>
      </c>
      <c r="I28" s="3" t="s">
        <v>32</v>
      </c>
      <c r="J28">
        <v>730995</v>
      </c>
      <c r="M28" s="4" t="s">
        <v>34</v>
      </c>
      <c r="N28">
        <v>143750</v>
      </c>
    </row>
    <row r="29" spans="2:14" x14ac:dyDescent="0.3">
      <c r="B29" s="3" t="s">
        <v>38</v>
      </c>
      <c r="C29" s="12">
        <v>975000</v>
      </c>
      <c r="I29" s="3" t="s">
        <v>136</v>
      </c>
      <c r="J29">
        <v>828400</v>
      </c>
      <c r="M29" s="4" t="s">
        <v>50</v>
      </c>
      <c r="N29">
        <v>74675</v>
      </c>
    </row>
    <row r="30" spans="2:14" x14ac:dyDescent="0.3">
      <c r="B30" s="3" t="s">
        <v>19</v>
      </c>
      <c r="C30" s="12">
        <v>5153500</v>
      </c>
      <c r="I30" s="3" t="s">
        <v>64</v>
      </c>
      <c r="J30">
        <v>164120</v>
      </c>
      <c r="M30" s="3" t="s">
        <v>599</v>
      </c>
      <c r="N30" s="12">
        <v>2548675</v>
      </c>
    </row>
    <row r="31" spans="2:14" x14ac:dyDescent="0.3">
      <c r="B31" s="3" t="s">
        <v>44</v>
      </c>
      <c r="C31" s="12">
        <v>1002800</v>
      </c>
      <c r="I31" s="3" t="s">
        <v>27</v>
      </c>
      <c r="J31">
        <v>1201325</v>
      </c>
    </row>
    <row r="32" spans="2:14" x14ac:dyDescent="0.3">
      <c r="B32" s="3" t="s">
        <v>88</v>
      </c>
      <c r="C32" s="12">
        <v>2073750</v>
      </c>
      <c r="I32" s="3" t="s">
        <v>84</v>
      </c>
      <c r="J32">
        <v>486360</v>
      </c>
    </row>
    <row r="33" spans="2:14" x14ac:dyDescent="0.3">
      <c r="B33" s="3" t="s">
        <v>599</v>
      </c>
      <c r="C33" s="5">
        <v>9905400</v>
      </c>
      <c r="I33" s="3" t="s">
        <v>48</v>
      </c>
      <c r="J33">
        <v>651025</v>
      </c>
      <c r="M33" s="20" t="s">
        <v>636</v>
      </c>
      <c r="N33" s="20"/>
    </row>
    <row r="34" spans="2:14" x14ac:dyDescent="0.3">
      <c r="I34" s="3" t="s">
        <v>129</v>
      </c>
      <c r="J34">
        <v>678675</v>
      </c>
    </row>
    <row r="35" spans="2:14" x14ac:dyDescent="0.3">
      <c r="I35" s="3" t="s">
        <v>101</v>
      </c>
      <c r="J35">
        <v>656195</v>
      </c>
      <c r="M35" s="2" t="s">
        <v>598</v>
      </c>
      <c r="N35" t="s">
        <v>600</v>
      </c>
    </row>
    <row r="36" spans="2:14" x14ac:dyDescent="0.3">
      <c r="B36" s="20" t="s">
        <v>604</v>
      </c>
      <c r="C36" s="20"/>
      <c r="I36" s="3" t="s">
        <v>76</v>
      </c>
      <c r="J36">
        <v>452865</v>
      </c>
      <c r="M36" s="3" t="s">
        <v>42</v>
      </c>
      <c r="N36" s="12">
        <v>6211665</v>
      </c>
    </row>
    <row r="37" spans="2:14" x14ac:dyDescent="0.3">
      <c r="I37" s="3" t="s">
        <v>133</v>
      </c>
      <c r="J37">
        <v>653190</v>
      </c>
      <c r="M37" s="4" t="s">
        <v>81</v>
      </c>
      <c r="N37">
        <v>83250</v>
      </c>
    </row>
    <row r="38" spans="2:14" x14ac:dyDescent="0.3">
      <c r="B38" s="2" t="s">
        <v>598</v>
      </c>
      <c r="C38" t="s">
        <v>600</v>
      </c>
      <c r="I38" s="3" t="s">
        <v>114</v>
      </c>
      <c r="J38">
        <v>537245</v>
      </c>
      <c r="M38" s="4" t="s">
        <v>20</v>
      </c>
      <c r="N38">
        <v>3800500</v>
      </c>
    </row>
    <row r="39" spans="2:14" x14ac:dyDescent="0.3">
      <c r="B39" s="3" t="s">
        <v>606</v>
      </c>
      <c r="C39" s="12">
        <v>1073775</v>
      </c>
      <c r="I39" s="3" t="s">
        <v>18</v>
      </c>
      <c r="J39">
        <v>732180</v>
      </c>
      <c r="M39" s="4" t="s">
        <v>78</v>
      </c>
      <c r="N39">
        <v>351765</v>
      </c>
    </row>
    <row r="40" spans="2:14" x14ac:dyDescent="0.3">
      <c r="B40" s="3" t="s">
        <v>607</v>
      </c>
      <c r="C40" s="12">
        <v>1292025</v>
      </c>
      <c r="I40" s="3" t="s">
        <v>108</v>
      </c>
      <c r="J40">
        <v>1024230</v>
      </c>
      <c r="M40" s="4" t="s">
        <v>34</v>
      </c>
      <c r="N40">
        <v>1183750</v>
      </c>
    </row>
    <row r="41" spans="2:14" x14ac:dyDescent="0.3">
      <c r="B41" s="3" t="s">
        <v>608</v>
      </c>
      <c r="C41" s="12">
        <v>1100950</v>
      </c>
      <c r="I41" s="3" t="s">
        <v>91</v>
      </c>
      <c r="J41">
        <v>627060</v>
      </c>
      <c r="M41" s="4" t="s">
        <v>50</v>
      </c>
      <c r="N41">
        <v>792400</v>
      </c>
    </row>
    <row r="42" spans="2:14" x14ac:dyDescent="0.3">
      <c r="B42" s="3" t="s">
        <v>609</v>
      </c>
      <c r="C42" s="12">
        <v>739550</v>
      </c>
      <c r="I42" s="3" t="s">
        <v>208</v>
      </c>
      <c r="J42">
        <v>274215</v>
      </c>
      <c r="M42" s="3" t="s">
        <v>24</v>
      </c>
      <c r="N42" s="12">
        <v>6662610</v>
      </c>
    </row>
    <row r="43" spans="2:14" x14ac:dyDescent="0.3">
      <c r="B43" s="3" t="s">
        <v>610</v>
      </c>
      <c r="C43" s="12">
        <v>1200835</v>
      </c>
      <c r="I43" s="3" t="s">
        <v>599</v>
      </c>
      <c r="J43" s="5">
        <v>12874275</v>
      </c>
      <c r="M43" s="4" t="s">
        <v>81</v>
      </c>
      <c r="N43">
        <v>82620</v>
      </c>
    </row>
    <row r="44" spans="2:14" x14ac:dyDescent="0.3">
      <c r="B44" s="3" t="s">
        <v>611</v>
      </c>
      <c r="C44" s="12">
        <v>647265</v>
      </c>
      <c r="M44" s="4" t="s">
        <v>20</v>
      </c>
      <c r="N44">
        <v>4276750</v>
      </c>
    </row>
    <row r="45" spans="2:14" x14ac:dyDescent="0.3">
      <c r="B45" s="3" t="s">
        <v>612</v>
      </c>
      <c r="C45" s="12">
        <v>624890</v>
      </c>
      <c r="M45" s="4" t="s">
        <v>78</v>
      </c>
      <c r="N45">
        <v>300015</v>
      </c>
    </row>
    <row r="46" spans="2:14" x14ac:dyDescent="0.3">
      <c r="B46" s="3" t="s">
        <v>613</v>
      </c>
      <c r="C46" s="12">
        <v>503915</v>
      </c>
      <c r="I46" s="20" t="s">
        <v>628</v>
      </c>
      <c r="J46" s="20"/>
      <c r="M46" s="4" t="s">
        <v>34</v>
      </c>
      <c r="N46">
        <v>1494400</v>
      </c>
    </row>
    <row r="47" spans="2:14" x14ac:dyDescent="0.3">
      <c r="B47" s="3" t="s">
        <v>614</v>
      </c>
      <c r="C47" s="12">
        <v>1603910</v>
      </c>
      <c r="M47" s="4" t="s">
        <v>50</v>
      </c>
      <c r="N47">
        <v>508825</v>
      </c>
    </row>
    <row r="48" spans="2:14" x14ac:dyDescent="0.3">
      <c r="B48" s="3" t="s">
        <v>615</v>
      </c>
      <c r="C48" s="12">
        <v>1448995</v>
      </c>
      <c r="I48" s="2" t="s">
        <v>598</v>
      </c>
      <c r="J48" t="s">
        <v>621</v>
      </c>
      <c r="M48" s="3" t="s">
        <v>599</v>
      </c>
      <c r="N48" s="14">
        <v>12874275</v>
      </c>
    </row>
    <row r="49" spans="2:10" x14ac:dyDescent="0.3">
      <c r="B49" s="3" t="s">
        <v>616</v>
      </c>
      <c r="C49" s="12">
        <v>1237925</v>
      </c>
      <c r="I49" s="3" t="s">
        <v>123</v>
      </c>
      <c r="J49">
        <v>167855</v>
      </c>
    </row>
    <row r="50" spans="2:10" x14ac:dyDescent="0.3">
      <c r="B50" s="3" t="s">
        <v>617</v>
      </c>
      <c r="C50" s="12">
        <v>1400240</v>
      </c>
      <c r="I50" s="3" t="s">
        <v>54</v>
      </c>
      <c r="J50">
        <v>137220</v>
      </c>
    </row>
    <row r="51" spans="2:10" x14ac:dyDescent="0.3">
      <c r="B51" s="3" t="s">
        <v>599</v>
      </c>
      <c r="C51" s="14">
        <v>12874275</v>
      </c>
      <c r="I51" s="3" t="s">
        <v>32</v>
      </c>
      <c r="J51">
        <v>161095</v>
      </c>
    </row>
    <row r="52" spans="2:10" x14ac:dyDescent="0.3">
      <c r="I52" s="3" t="s">
        <v>136</v>
      </c>
      <c r="J52">
        <v>159400</v>
      </c>
    </row>
    <row r="53" spans="2:10" x14ac:dyDescent="0.3">
      <c r="I53" s="3" t="s">
        <v>27</v>
      </c>
      <c r="J53">
        <v>176725</v>
      </c>
    </row>
    <row r="54" spans="2:10" x14ac:dyDescent="0.3">
      <c r="B54" s="20" t="s">
        <v>618</v>
      </c>
      <c r="C54" s="20"/>
      <c r="I54" s="3" t="s">
        <v>101</v>
      </c>
      <c r="J54">
        <v>148695</v>
      </c>
    </row>
    <row r="55" spans="2:10" x14ac:dyDescent="0.3">
      <c r="I55" s="3" t="s">
        <v>133</v>
      </c>
      <c r="J55">
        <v>138490</v>
      </c>
    </row>
    <row r="56" spans="2:10" x14ac:dyDescent="0.3">
      <c r="B56" s="2" t="s">
        <v>598</v>
      </c>
      <c r="C56" t="s">
        <v>600</v>
      </c>
      <c r="I56" s="3" t="s">
        <v>18</v>
      </c>
      <c r="J56">
        <v>159280</v>
      </c>
    </row>
    <row r="57" spans="2:10" x14ac:dyDescent="0.3">
      <c r="B57" s="13" t="s">
        <v>42</v>
      </c>
      <c r="C57" s="12">
        <v>6211665</v>
      </c>
      <c r="I57" s="3" t="s">
        <v>108</v>
      </c>
      <c r="J57">
        <v>191830</v>
      </c>
    </row>
    <row r="58" spans="2:10" x14ac:dyDescent="0.3">
      <c r="B58" s="3" t="s">
        <v>24</v>
      </c>
      <c r="C58" s="12">
        <v>6662610</v>
      </c>
      <c r="I58" s="3" t="s">
        <v>91</v>
      </c>
      <c r="J58">
        <v>144260</v>
      </c>
    </row>
    <row r="59" spans="2:10" x14ac:dyDescent="0.3">
      <c r="B59" s="3" t="s">
        <v>599</v>
      </c>
      <c r="C59" s="14">
        <v>12874275</v>
      </c>
      <c r="I59" s="3" t="s">
        <v>599</v>
      </c>
      <c r="J59" s="5">
        <v>1584850</v>
      </c>
    </row>
    <row r="62" spans="2:10" x14ac:dyDescent="0.3">
      <c r="B62" s="20" t="s">
        <v>619</v>
      </c>
      <c r="C62" s="20"/>
      <c r="I62" s="20" t="s">
        <v>629</v>
      </c>
      <c r="J62" s="20"/>
    </row>
    <row r="64" spans="2:10" x14ac:dyDescent="0.3">
      <c r="B64" s="2" t="s">
        <v>598</v>
      </c>
      <c r="C64" t="s">
        <v>621</v>
      </c>
      <c r="I64" s="2" t="s">
        <v>598</v>
      </c>
      <c r="J64" t="s">
        <v>630</v>
      </c>
    </row>
    <row r="65" spans="2:10" x14ac:dyDescent="0.3">
      <c r="B65" s="3" t="s">
        <v>81</v>
      </c>
      <c r="C65">
        <v>58070</v>
      </c>
      <c r="I65" s="3" t="s">
        <v>81</v>
      </c>
      <c r="J65">
        <v>98</v>
      </c>
    </row>
    <row r="66" spans="2:10" x14ac:dyDescent="0.3">
      <c r="B66" s="3" t="s">
        <v>20</v>
      </c>
      <c r="C66">
        <v>1210150</v>
      </c>
      <c r="I66" s="3" t="s">
        <v>20</v>
      </c>
      <c r="J66">
        <v>434</v>
      </c>
    </row>
    <row r="67" spans="2:10" x14ac:dyDescent="0.3">
      <c r="B67" s="3" t="s">
        <v>78</v>
      </c>
      <c r="C67">
        <v>229380</v>
      </c>
      <c r="I67" s="3" t="s">
        <v>78</v>
      </c>
      <c r="J67">
        <v>370</v>
      </c>
    </row>
    <row r="68" spans="2:10" x14ac:dyDescent="0.3">
      <c r="B68" s="3" t="s">
        <v>34</v>
      </c>
      <c r="C68">
        <v>709550</v>
      </c>
      <c r="I68" s="3" t="s">
        <v>34</v>
      </c>
      <c r="J68">
        <v>322</v>
      </c>
    </row>
    <row r="69" spans="2:10" x14ac:dyDescent="0.3">
      <c r="B69" s="3" t="s">
        <v>50</v>
      </c>
      <c r="C69">
        <v>341525</v>
      </c>
      <c r="I69" s="3" t="s">
        <v>50</v>
      </c>
      <c r="J69">
        <v>288</v>
      </c>
    </row>
    <row r="70" spans="2:10" x14ac:dyDescent="0.3">
      <c r="B70" s="3" t="s">
        <v>599</v>
      </c>
      <c r="C70" s="5">
        <v>2548675</v>
      </c>
      <c r="I70" s="3" t="s">
        <v>599</v>
      </c>
      <c r="J70">
        <v>1512</v>
      </c>
    </row>
    <row r="73" spans="2:10" x14ac:dyDescent="0.3">
      <c r="B73" s="20" t="s">
        <v>622</v>
      </c>
      <c r="C73" s="20"/>
      <c r="I73" s="20" t="s">
        <v>642</v>
      </c>
      <c r="J73" s="20"/>
    </row>
    <row r="75" spans="2:10" x14ac:dyDescent="0.3">
      <c r="B75" s="2" t="s">
        <v>598</v>
      </c>
      <c r="C75" t="s">
        <v>600</v>
      </c>
      <c r="I75" s="2" t="s">
        <v>598</v>
      </c>
      <c r="J75" t="s">
        <v>631</v>
      </c>
    </row>
    <row r="76" spans="2:10" x14ac:dyDescent="0.3">
      <c r="B76" s="3" t="s">
        <v>81</v>
      </c>
      <c r="C76" s="12">
        <v>165870</v>
      </c>
      <c r="I76" s="3" t="s">
        <v>81</v>
      </c>
      <c r="J76" s="9">
        <v>4878.5294117647063</v>
      </c>
    </row>
    <row r="77" spans="2:10" x14ac:dyDescent="0.3">
      <c r="B77" s="3" t="s">
        <v>20</v>
      </c>
      <c r="C77" s="12">
        <v>8077250</v>
      </c>
      <c r="I77" s="3" t="s">
        <v>20</v>
      </c>
      <c r="J77" s="9">
        <v>56484.265734265733</v>
      </c>
    </row>
    <row r="78" spans="2:10" x14ac:dyDescent="0.3">
      <c r="B78" s="3" t="s">
        <v>78</v>
      </c>
      <c r="C78" s="12">
        <v>651780</v>
      </c>
      <c r="I78" s="3" t="s">
        <v>78</v>
      </c>
      <c r="J78" s="9">
        <v>5717.3684210526317</v>
      </c>
    </row>
    <row r="79" spans="2:10" x14ac:dyDescent="0.3">
      <c r="B79" s="3" t="s">
        <v>34</v>
      </c>
      <c r="C79" s="12">
        <v>2678150</v>
      </c>
      <c r="I79" s="3" t="s">
        <v>34</v>
      </c>
      <c r="J79" s="9">
        <v>23912.053571428572</v>
      </c>
    </row>
    <row r="80" spans="2:10" x14ac:dyDescent="0.3">
      <c r="B80" s="3" t="s">
        <v>50</v>
      </c>
      <c r="C80" s="12">
        <v>1301225</v>
      </c>
      <c r="I80" s="3" t="s">
        <v>50</v>
      </c>
      <c r="J80" s="9">
        <v>13414.690721649484</v>
      </c>
    </row>
    <row r="81" spans="2:10" x14ac:dyDescent="0.3">
      <c r="B81" s="3" t="s">
        <v>599</v>
      </c>
      <c r="C81" s="14">
        <v>12874275</v>
      </c>
      <c r="I81" s="3" t="s">
        <v>599</v>
      </c>
      <c r="J81" s="5">
        <v>25748.55</v>
      </c>
    </row>
    <row r="84" spans="2:10" x14ac:dyDescent="0.3">
      <c r="B84" s="20" t="s">
        <v>623</v>
      </c>
      <c r="C84" s="20"/>
      <c r="I84" s="20" t="s">
        <v>632</v>
      </c>
      <c r="J84" s="20"/>
    </row>
    <row r="86" spans="2:10" x14ac:dyDescent="0.3">
      <c r="B86" s="2" t="s">
        <v>598</v>
      </c>
      <c r="C86" t="s">
        <v>600</v>
      </c>
      <c r="I86" s="2" t="s">
        <v>598</v>
      </c>
      <c r="J86" t="s">
        <v>633</v>
      </c>
    </row>
    <row r="87" spans="2:10" x14ac:dyDescent="0.3">
      <c r="B87" s="3" t="s">
        <v>60</v>
      </c>
      <c r="C87">
        <v>636000</v>
      </c>
      <c r="I87" s="3" t="s">
        <v>81</v>
      </c>
      <c r="J87" s="9">
        <v>1707.9411764705883</v>
      </c>
    </row>
    <row r="88" spans="2:10" x14ac:dyDescent="0.3">
      <c r="B88" s="3" t="s">
        <v>80</v>
      </c>
      <c r="C88">
        <v>165870</v>
      </c>
      <c r="I88" s="3" t="s">
        <v>20</v>
      </c>
      <c r="J88" s="9">
        <v>8462.5874125874125</v>
      </c>
    </row>
    <row r="89" spans="2:10" x14ac:dyDescent="0.3">
      <c r="B89" s="3" t="s">
        <v>33</v>
      </c>
      <c r="C89">
        <v>700350</v>
      </c>
      <c r="I89" s="3" t="s">
        <v>78</v>
      </c>
      <c r="J89" s="9">
        <v>2012.1052631578948</v>
      </c>
    </row>
    <row r="90" spans="2:10" x14ac:dyDescent="0.3">
      <c r="B90" s="3" t="s">
        <v>67</v>
      </c>
      <c r="C90">
        <v>397125</v>
      </c>
      <c r="I90" s="3" t="s">
        <v>34</v>
      </c>
      <c r="J90" s="9">
        <v>6335.2678571428569</v>
      </c>
    </row>
    <row r="91" spans="2:10" x14ac:dyDescent="0.3">
      <c r="B91" s="3" t="s">
        <v>38</v>
      </c>
      <c r="C91">
        <v>975000</v>
      </c>
      <c r="I91" s="3" t="s">
        <v>50</v>
      </c>
      <c r="J91" s="9">
        <v>3520.8762886597938</v>
      </c>
    </row>
    <row r="92" spans="2:10" x14ac:dyDescent="0.3">
      <c r="B92" s="3" t="s">
        <v>55</v>
      </c>
      <c r="C92">
        <v>315500</v>
      </c>
      <c r="I92" s="3" t="s">
        <v>599</v>
      </c>
      <c r="J92">
        <v>5097.3500000000004</v>
      </c>
    </row>
    <row r="93" spans="2:10" x14ac:dyDescent="0.3">
      <c r="B93" s="3" t="s">
        <v>77</v>
      </c>
      <c r="C93">
        <v>211680</v>
      </c>
    </row>
    <row r="94" spans="2:10" x14ac:dyDescent="0.3">
      <c r="B94" s="3" t="s">
        <v>19</v>
      </c>
      <c r="C94">
        <v>5153500</v>
      </c>
    </row>
    <row r="95" spans="2:10" x14ac:dyDescent="0.3">
      <c r="B95" s="3" t="s">
        <v>49</v>
      </c>
      <c r="C95">
        <v>268100</v>
      </c>
      <c r="I95" s="20" t="s">
        <v>634</v>
      </c>
      <c r="J95" s="20"/>
    </row>
    <row r="96" spans="2:10" x14ac:dyDescent="0.3">
      <c r="B96" s="3" t="s">
        <v>44</v>
      </c>
      <c r="C96">
        <v>1002800</v>
      </c>
    </row>
    <row r="97" spans="2:10" x14ac:dyDescent="0.3">
      <c r="B97" s="3" t="s">
        <v>116</v>
      </c>
      <c r="C97">
        <v>330300</v>
      </c>
      <c r="I97" s="2" t="s">
        <v>598</v>
      </c>
      <c r="J97" t="s">
        <v>600</v>
      </c>
    </row>
    <row r="98" spans="2:10" x14ac:dyDescent="0.3">
      <c r="B98" s="3" t="s">
        <v>65</v>
      </c>
      <c r="C98">
        <v>534500</v>
      </c>
      <c r="I98" s="3" t="s">
        <v>35</v>
      </c>
      <c r="J98" s="5">
        <v>3669420</v>
      </c>
    </row>
    <row r="99" spans="2:10" x14ac:dyDescent="0.3">
      <c r="B99" s="3" t="s">
        <v>88</v>
      </c>
      <c r="C99">
        <v>2073750</v>
      </c>
      <c r="I99" s="4" t="s">
        <v>81</v>
      </c>
      <c r="J99">
        <v>63450</v>
      </c>
    </row>
    <row r="100" spans="2:10" x14ac:dyDescent="0.3">
      <c r="B100" s="3" t="s">
        <v>85</v>
      </c>
      <c r="C100">
        <v>109800</v>
      </c>
      <c r="I100" s="4" t="s">
        <v>20</v>
      </c>
      <c r="J100">
        <v>2082750</v>
      </c>
    </row>
    <row r="101" spans="2:10" x14ac:dyDescent="0.3">
      <c r="B101" s="3" t="s">
        <v>599</v>
      </c>
      <c r="C101" s="14">
        <v>12874275</v>
      </c>
      <c r="I101" s="4" t="s">
        <v>78</v>
      </c>
      <c r="J101">
        <v>179295</v>
      </c>
    </row>
    <row r="102" spans="2:10" x14ac:dyDescent="0.3">
      <c r="I102" s="4" t="s">
        <v>34</v>
      </c>
      <c r="J102">
        <v>936000</v>
      </c>
    </row>
    <row r="103" spans="2:10" x14ac:dyDescent="0.3">
      <c r="I103" s="4" t="s">
        <v>50</v>
      </c>
      <c r="J103">
        <v>407925</v>
      </c>
    </row>
    <row r="104" spans="2:10" x14ac:dyDescent="0.3">
      <c r="B104" s="20" t="s">
        <v>624</v>
      </c>
      <c r="C104" s="20"/>
      <c r="I104" s="3" t="s">
        <v>21</v>
      </c>
      <c r="J104" s="5">
        <v>3271330</v>
      </c>
    </row>
    <row r="105" spans="2:10" x14ac:dyDescent="0.3">
      <c r="I105" s="4" t="s">
        <v>81</v>
      </c>
      <c r="J105">
        <v>46260</v>
      </c>
    </row>
    <row r="106" spans="2:10" x14ac:dyDescent="0.3">
      <c r="B106" s="2" t="s">
        <v>598</v>
      </c>
      <c r="C106" t="s">
        <v>600</v>
      </c>
      <c r="I106" s="4" t="s">
        <v>20</v>
      </c>
      <c r="J106">
        <v>2272625</v>
      </c>
    </row>
    <row r="107" spans="2:10" x14ac:dyDescent="0.3">
      <c r="B107" s="3" t="s">
        <v>51</v>
      </c>
      <c r="C107">
        <v>2908895</v>
      </c>
      <c r="I107" s="4" t="s">
        <v>78</v>
      </c>
      <c r="J107">
        <v>128220</v>
      </c>
    </row>
    <row r="108" spans="2:10" x14ac:dyDescent="0.3">
      <c r="B108" s="3" t="s">
        <v>58</v>
      </c>
      <c r="C108">
        <v>3625540</v>
      </c>
      <c r="I108" s="4" t="s">
        <v>34</v>
      </c>
      <c r="J108">
        <v>541150</v>
      </c>
    </row>
    <row r="109" spans="2:10" x14ac:dyDescent="0.3">
      <c r="B109" s="3" t="s">
        <v>97</v>
      </c>
      <c r="C109">
        <v>3371415</v>
      </c>
      <c r="I109" s="4" t="s">
        <v>50</v>
      </c>
      <c r="J109">
        <v>283075</v>
      </c>
    </row>
    <row r="110" spans="2:10" x14ac:dyDescent="0.3">
      <c r="B110" s="3" t="s">
        <v>23</v>
      </c>
      <c r="C110">
        <v>2968425</v>
      </c>
      <c r="I110" s="3" t="s">
        <v>28</v>
      </c>
      <c r="J110" s="5">
        <v>2967695</v>
      </c>
    </row>
    <row r="111" spans="2:10" x14ac:dyDescent="0.3">
      <c r="B111" s="3" t="s">
        <v>599</v>
      </c>
      <c r="C111" s="14">
        <v>12874275</v>
      </c>
      <c r="I111" s="4" t="s">
        <v>81</v>
      </c>
      <c r="J111">
        <v>27360</v>
      </c>
    </row>
    <row r="112" spans="2:10" x14ac:dyDescent="0.3">
      <c r="I112" s="4" t="s">
        <v>20</v>
      </c>
      <c r="J112">
        <v>1786000</v>
      </c>
    </row>
    <row r="113" spans="2:10" x14ac:dyDescent="0.3">
      <c r="I113" s="4" t="s">
        <v>78</v>
      </c>
      <c r="J113">
        <v>169635</v>
      </c>
    </row>
    <row r="114" spans="2:10" x14ac:dyDescent="0.3">
      <c r="B114" s="20" t="s">
        <v>625</v>
      </c>
      <c r="C114" s="20"/>
      <c r="I114" s="4" t="s">
        <v>34</v>
      </c>
      <c r="J114">
        <v>663250</v>
      </c>
    </row>
    <row r="115" spans="2:10" x14ac:dyDescent="0.3">
      <c r="I115" s="4" t="s">
        <v>50</v>
      </c>
      <c r="J115">
        <v>321450</v>
      </c>
    </row>
    <row r="116" spans="2:10" x14ac:dyDescent="0.3">
      <c r="B116" s="2" t="s">
        <v>598</v>
      </c>
      <c r="C116" t="s">
        <v>621</v>
      </c>
      <c r="I116" s="3" t="s">
        <v>40</v>
      </c>
      <c r="J116" s="5">
        <v>2965830</v>
      </c>
    </row>
    <row r="117" spans="2:10" x14ac:dyDescent="0.3">
      <c r="B117" s="3" t="s">
        <v>51</v>
      </c>
      <c r="C117" s="12">
        <v>573795</v>
      </c>
      <c r="I117" s="4" t="s">
        <v>81</v>
      </c>
      <c r="J117">
        <v>28800</v>
      </c>
    </row>
    <row r="118" spans="2:10" x14ac:dyDescent="0.3">
      <c r="B118" s="3" t="s">
        <v>58</v>
      </c>
      <c r="C118" s="12">
        <v>660440</v>
      </c>
      <c r="I118" s="4" t="s">
        <v>20</v>
      </c>
      <c r="J118">
        <v>1935875</v>
      </c>
    </row>
    <row r="119" spans="2:10" x14ac:dyDescent="0.3">
      <c r="B119" s="3" t="s">
        <v>97</v>
      </c>
      <c r="C119" s="12">
        <v>693015</v>
      </c>
      <c r="I119" s="4" t="s">
        <v>78</v>
      </c>
      <c r="J119">
        <v>174630</v>
      </c>
    </row>
    <row r="120" spans="2:10" x14ac:dyDescent="0.3">
      <c r="B120" s="3" t="s">
        <v>23</v>
      </c>
      <c r="C120" s="12">
        <v>621425</v>
      </c>
      <c r="I120" s="4" t="s">
        <v>34</v>
      </c>
      <c r="J120">
        <v>537750</v>
      </c>
    </row>
    <row r="121" spans="2:10" x14ac:dyDescent="0.3">
      <c r="B121" s="3" t="s">
        <v>599</v>
      </c>
      <c r="C121" s="12">
        <v>2548675</v>
      </c>
      <c r="I121" s="4" t="s">
        <v>50</v>
      </c>
      <c r="J121">
        <v>288775</v>
      </c>
    </row>
    <row r="122" spans="2:10" x14ac:dyDescent="0.3">
      <c r="I122" s="3" t="s">
        <v>599</v>
      </c>
      <c r="J122" s="14">
        <v>12874275</v>
      </c>
    </row>
    <row r="125" spans="2:10" x14ac:dyDescent="0.3">
      <c r="I125" s="20"/>
      <c r="J125" s="20"/>
    </row>
  </sheetData>
  <mergeCells count="19">
    <mergeCell ref="B73:C73"/>
    <mergeCell ref="B84:C84"/>
    <mergeCell ref="B104:C104"/>
    <mergeCell ref="B3:E3"/>
    <mergeCell ref="I95:J95"/>
    <mergeCell ref="I125:J125"/>
    <mergeCell ref="M33:N33"/>
    <mergeCell ref="I2:J2"/>
    <mergeCell ref="I20:J20"/>
    <mergeCell ref="I46:J46"/>
    <mergeCell ref="I62:J62"/>
    <mergeCell ref="I73:J73"/>
    <mergeCell ref="I84:J84"/>
    <mergeCell ref="B114:C114"/>
    <mergeCell ref="B12:C12"/>
    <mergeCell ref="B25:C25"/>
    <mergeCell ref="B36:C36"/>
    <mergeCell ref="B54:C54"/>
    <mergeCell ref="B62:C62"/>
  </mergeCells>
  <pageMargins left="0.7" right="0.7" top="0.75" bottom="0.75" header="0.3" footer="0.3"/>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19D0-3567-4BD6-8D03-26C4B38027FE}">
  <sheetPr codeName="Sheet3"/>
  <dimension ref="G55:O62"/>
  <sheetViews>
    <sheetView showGridLines="0" tabSelected="1" topLeftCell="B17" zoomScale="72" zoomScaleNormal="72" workbookViewId="0">
      <selection activeCell="AH29" sqref="AH29"/>
    </sheetView>
  </sheetViews>
  <sheetFormatPr defaultRowHeight="14.4" x14ac:dyDescent="0.3"/>
  <cols>
    <col min="6" max="6" width="8.88671875" customWidth="1"/>
    <col min="7" max="7" width="8.88671875" style="10"/>
    <col min="8" max="8" width="16.33203125" bestFit="1" customWidth="1"/>
    <col min="9" max="9" width="16.33203125" customWidth="1"/>
    <col min="10" max="10" width="11.33203125" customWidth="1"/>
    <col min="11" max="11" width="13.109375" bestFit="1" customWidth="1"/>
    <col min="12" max="12" width="8.88671875" customWidth="1"/>
    <col min="15" max="15" width="10.44140625" bestFit="1" customWidth="1"/>
    <col min="29" max="29" width="8.88671875" customWidth="1"/>
  </cols>
  <sheetData>
    <row r="55" spans="8:15" x14ac:dyDescent="0.3">
      <c r="H55" s="15"/>
    </row>
    <row r="56" spans="8:15" x14ac:dyDescent="0.3">
      <c r="I56" s="7"/>
      <c r="K56" s="7"/>
      <c r="O56" s="7"/>
    </row>
    <row r="62" spans="8:15" x14ac:dyDescent="0.3">
      <c r="I62"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Oblesh hg</cp:lastModifiedBy>
  <dcterms:created xsi:type="dcterms:W3CDTF">2026-10-07T05:19:48Z</dcterms:created>
  <dcterms:modified xsi:type="dcterms:W3CDTF">2026-10-27T13:49:02Z</dcterms:modified>
</cp:coreProperties>
</file>